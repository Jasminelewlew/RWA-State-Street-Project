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ortfolio" sheetId="2" state="visible" r:id="rId4"/>
    <sheet name="Capital_Summary" sheetId="3" state="visible" r:id="rId5"/>
    <sheet name="Stress_Scenario" sheetId="4" state="visible" r:id="rId6"/>
    <sheet name="Basel_III_Endgam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<sst xmlns="http://schemas.openxmlformats.org/spreadsheetml/2006/main" count="227" uniqueCount="185">
  <si>
    <t xml:space="preserve">Mock SSM Capital &amp; RWA Model</t>
  </si>
  <si>
    <t xml:space="preserve">What this is:</t>
  </si>
  <si>
    <t xml:space="preserve">A small exercise I built to actually understand how RWA and CET1</t>
  </si>
  <si>
    <t xml:space="preserve">ratios work, using a mock portfolio shaped like State Street Markets'</t>
  </si>
  <si>
    <t xml:space="preserve">real business (repo, securities lending, derivatives). Built this</t>
  </si>
  <si>
    <t xml:space="preserve">mainly to prep for a Capital Optimization Analyst role - reading about</t>
  </si>
  <si>
    <t xml:space="preserve">Basel III wasn't clicking until I tried building the math myself.</t>
  </si>
  <si>
    <t xml:space="preserve">Update: adding a Basel III Endgame comparison.</t>
  </si>
  <si>
    <t xml:space="preserve">Regulators put out a re-proposed Basel III Endgame rule in March 2026</t>
  </si>
  <si>
    <t xml:space="preserve">that's expected to ease up capital requirements a bit compared to the</t>
  </si>
  <si>
    <t xml:space="preserve">2023 version (still not final as of this workbook). Since this directly</t>
  </si>
  <si>
    <t xml:space="preserve">affects the kind of work this role does, I'm adding a side-by-side:</t>
  </si>
  <si>
    <t xml:space="preserve">current Basel III vs. the Endgame proposal, both under baseline and</t>
  </si>
  <si>
    <t xml:space="preserve">under the stress scenario. Numbers for the Endgame layer are my own</t>
  </si>
  <si>
    <t xml:space="preserve">illustrative assumption (a modest risk-weight reduction on derivatives</t>
  </si>
  <si>
    <t xml:space="preserve">and securitization exposures), not an official regulatory estimate.</t>
  </si>
  <si>
    <t xml:space="preserve">What's real vs. what I made up:</t>
  </si>
  <si>
    <t xml:space="preserve">Real - taken from State Street's public filings:</t>
  </si>
  <si>
    <t xml:space="preserve">  - the transaction categories and RWA formulas (standard Basel SFT</t>
  </si>
  <si>
    <t xml:space="preserve">    exposure formula)</t>
  </si>
  <si>
    <t xml:space="preserve">  - the Severely Adverse stress scenario assumptions</t>
  </si>
  <si>
    <t xml:space="preserve">  - the ~10.8% CET1 ratio target (State Street's actual Q2 2026 number)</t>
  </si>
  <si>
    <t xml:space="preserve">Made up by me - not State Street's actual data:</t>
  </si>
  <si>
    <t xml:space="preserve">  - counterparty names, exposure amounts, collateral values</t>
  </si>
  <si>
    <t xml:space="preserve">  - the Basel III Endgame risk-weight adjustment (illustrative only)</t>
  </si>
  <si>
    <t xml:space="preserve">Sources I pulled from:</t>
  </si>
  <si>
    <t xml:space="preserve">Link</t>
  </si>
  <si>
    <t xml:space="preserve">State Street 10-Q, June 30 2026 (RWA Roll-Forward table, Note 9 on Indemnified Securities Financing, repo/sec-lending maturity table)</t>
  </si>
  <si>
    <t xml:space="preserve">https://www.sec.gov/Archives/edgar/data/0000093751/000009375126000397/stt-20260630.htm</t>
  </si>
  <si>
    <t xml:space="preserve">State Street 2025 Dodd-Frank Act Stress Test Disclosure, July 1 2025 (Severely Adverse scenario assumptions)</t>
  </si>
  <si>
    <t xml:space="preserve">https://s203.q4cdn.com/888565246/files/doc_downloads/Dodd_Frank/2025/2025-Federal-Reserve-Stress-Test-Disclosure-vfinal.pdf</t>
  </si>
  <si>
    <t xml:space="preserve">State Street 2Q26 Earnings Release Addendum (real CET1, RWA used to sanity-check the model)</t>
  </si>
  <si>
    <t xml:space="preserve">https://s203.q4cdn.com/888565246/files/doc_financials/2026/q2/STT-2Q26-Earnings-Release-Addendum-vFinal.pdf</t>
  </si>
  <si>
    <t xml:space="preserve">Federal Reserve press release, March 19 2026, on the Basel III Endgame re-proposal (used for direction/magnitude only, not exact figures)</t>
  </si>
  <si>
    <t xml:space="preserve">https://www.federalreserve.gov/newsevents/pressreleases/bcreg20260319a.htm</t>
  </si>
  <si>
    <t xml:space="preserve">What's in each sheet:</t>
  </si>
  <si>
    <t xml:space="preserve">1. Portfolio - the mock transactions, with live RWA formulas</t>
  </si>
  <si>
    <t xml:space="preserve">2. Capital_Summary - baseline CET1 ratio + check against the real number</t>
  </si>
  <si>
    <t xml:space="preserve">3. Stress_Scenario - Severely Adverse shocks applied, stressed CET1 ratio</t>
  </si>
  <si>
    <t xml:space="preserve">4. Basel_III_Endgame - current rules vs. the proposed rules, side by side</t>
  </si>
  <si>
    <t xml:space="preserve">ID</t>
  </si>
  <si>
    <t xml:space="preserve">Category</t>
  </si>
  <si>
    <t xml:space="preserve">Counterparty (mock)</t>
  </si>
  <si>
    <t xml:space="preserve">Exposure ($M)</t>
  </si>
  <si>
    <t xml:space="preserve">Collateral ($M)</t>
  </si>
  <si>
    <t xml:space="preserve">Haircut (%)</t>
  </si>
  <si>
    <t xml:space="preserve">Risk Weight (%)</t>
  </si>
  <si>
    <t xml:space="preserve">E* = Exposure net of collateral ($M)</t>
  </si>
  <si>
    <t xml:space="preserve">RWA ($M)</t>
  </si>
  <si>
    <t xml:space="preserve">Collateral is equity-type? (Y/N)</t>
  </si>
  <si>
    <t xml:space="preserve">Repo-01</t>
  </si>
  <si>
    <t xml:space="preserve">Repo-style transactions</t>
  </si>
  <si>
    <t xml:space="preserve">ABC Broker-Dealer</t>
  </si>
  <si>
    <t xml:space="preserve">N</t>
  </si>
  <si>
    <t xml:space="preserve">Repo-02</t>
  </si>
  <si>
    <t xml:space="preserve">DEF Broker-Dealer</t>
  </si>
  <si>
    <t xml:space="preserve">Repo-03</t>
  </si>
  <si>
    <t xml:space="preserve">GHI Sponsored Repo Client (FICC)</t>
  </si>
  <si>
    <t xml:space="preserve">Repo-04</t>
  </si>
  <si>
    <t xml:space="preserve">JKL Sponsored Repo Client (FICC)</t>
  </si>
  <si>
    <t xml:space="preserve">Deriv-01</t>
  </si>
  <si>
    <t xml:space="preserve">OTC derivatives</t>
  </si>
  <si>
    <t xml:space="preserve">MNO Asset Manager - FX fwd</t>
  </si>
  <si>
    <t xml:space="preserve">Deriv-02</t>
  </si>
  <si>
    <t xml:space="preserve">PQR Asset Manager - FX swap</t>
  </si>
  <si>
    <t xml:space="preserve">Deriv-03</t>
  </si>
  <si>
    <t xml:space="preserve">STU Pension Fund - IR swap</t>
  </si>
  <si>
    <t xml:space="preserve">Deriv-04</t>
  </si>
  <si>
    <t xml:space="preserve">VWX Sovereign Fund - FX fwd</t>
  </si>
  <si>
    <t xml:space="preserve">Loan-01</t>
  </si>
  <si>
    <t xml:space="preserve">Loans</t>
  </si>
  <si>
    <t xml:space="preserve">YZA Corp</t>
  </si>
  <si>
    <t xml:space="preserve">Loan-02</t>
  </si>
  <si>
    <t xml:space="preserve">BCD Corp</t>
  </si>
  <si>
    <t xml:space="preserve">Loan-03</t>
  </si>
  <si>
    <t xml:space="preserve">EFG Real Estate LLC</t>
  </si>
  <si>
    <t xml:space="preserve">Sec-01</t>
  </si>
  <si>
    <t xml:space="preserve">Securitization</t>
  </si>
  <si>
    <t xml:space="preserve">HIJ ABS Tranche</t>
  </si>
  <si>
    <t xml:space="preserve">Y</t>
  </si>
  <si>
    <t xml:space="preserve">Sec-02</t>
  </si>
  <si>
    <t xml:space="preserve">KLM ABS Tranche</t>
  </si>
  <si>
    <t xml:space="preserve">Indem-01</t>
  </si>
  <si>
    <t xml:space="preserve">Indemnified securities financing</t>
  </si>
  <si>
    <t xml:space="preserve">NOP Agency Lending Client</t>
  </si>
  <si>
    <t xml:space="preserve">Indem-02</t>
  </si>
  <si>
    <t xml:space="preserve">QRS Agency Lending Client</t>
  </si>
  <si>
    <t xml:space="preserve">Indem-03</t>
  </si>
  <si>
    <t xml:space="preserve">TUV Hedge Fund (borrower)</t>
  </si>
  <si>
    <t xml:space="preserve">TOTAL PORTFOLIO</t>
  </si>
  <si>
    <t xml:space="preserve">RWA by category</t>
  </si>
  <si>
    <t xml:space="preserve">% of total RWA</t>
  </si>
  <si>
    <t xml:space="preserve">Capital Summary - Baseline (no stress)</t>
  </si>
  <si>
    <t xml:space="preserve">Total RWA ($M)</t>
  </si>
  <si>
    <t xml:space="preserve">Sum of mock portfolio RWA (Portfolio sheet)</t>
  </si>
  <si>
    <t xml:space="preserve">CET1 Capital ($M) - assumption</t>
  </si>
  <si>
    <t xml:space="preserve">Set so baseline CET1 ratio lands near State Street's real 2Q26 ratio (~10.8%) for calibration</t>
  </si>
  <si>
    <t xml:space="preserve">CET1 Ratio</t>
  </si>
  <si>
    <t xml:space="preserve">CET1 Ratio = CET1 Capital / Total RWA</t>
  </si>
  <si>
    <t xml:space="preserve">Calibration check</t>
  </si>
  <si>
    <t xml:space="preserve">Real State Street CET1 Ratio, 2Q26 (Standardized)</t>
  </si>
  <si>
    <t xml:space="preserve">Source: State Street 2Q26 Earnings Release Addendum, Regulatory Capital table</t>
  </si>
  <si>
    <t xml:space="preserve">Difference (mock model vs real)</t>
  </si>
  <si>
    <t xml:space="preserve">Directional check only - mock model is a different scale/book</t>
  </si>
  <si>
    <t xml:space="preserve">RWA composition check vs real 10-Q roll-forward</t>
  </si>
  <si>
    <t xml:space="preserve">Real: Credit risk RWA, % of total (2Q26 Standardized)</t>
  </si>
  <si>
    <t xml:space="preserve">$140,668M credit / $143,406M total. Source: 10-Q Table, June 30 2026</t>
  </si>
  <si>
    <t xml:space="preserve">Mock model: RWA in credit-risk-style categories, % of total</t>
  </si>
  <si>
    <t xml:space="preserve">All mock categories are credit-risk-style, so this should read ~100%</t>
  </si>
  <si>
    <t xml:space="preserve">Stress Scenario - Supervisory Severely Adverse</t>
  </si>
  <si>
    <t xml:space="preserve">Source: State Street 2025 DFAST Disclosure (Severely Adverse scenario: unemployment 10%, real GDP -7.8%, equity market -50%). Row-level shocks below are my own simplified way of applying those macro assumptions to this mock portfolio - not State Street's actual stress methodology.</t>
  </si>
  <si>
    <t xml:space="preserve">Stress assumptions</t>
  </si>
  <si>
    <t xml:space="preserve">Equity market shock (Severely Adverse)</t>
  </si>
  <si>
    <t xml:space="preserve">DFAST 2025: equity market decline of 50% over the 9-quarter horizon</t>
  </si>
  <si>
    <t xml:space="preserve">Haircut add-on under stress</t>
  </si>
  <si>
    <t xml:space="preserve">Illustrative: wider haircuts as market liquidity deteriorates</t>
  </si>
  <si>
    <t xml:space="preserve">Risk weight add-on under stress</t>
  </si>
  <si>
    <t xml:space="preserve">Illustrative: credit migration as unemployment rises to 10%, GDP falls 7.8%</t>
  </si>
  <si>
    <t xml:space="preserve">Stressed Collateral ($M)</t>
  </si>
  <si>
    <t xml:space="preserve">Stressed Haircut (%)</t>
  </si>
  <si>
    <t xml:space="preserve">Stressed Risk Weight (%)</t>
  </si>
  <si>
    <t xml:space="preserve">Stressed E* ($M)</t>
  </si>
  <si>
    <t xml:space="preserve">Stressed RWA ($M)</t>
  </si>
  <si>
    <t xml:space="preserve">TOTAL STRESSED RWA</t>
  </si>
  <si>
    <t xml:space="preserve">Stressed CET1 capital rollforward</t>
  </si>
  <si>
    <t xml:space="preserve">Beginning CET1 Capital ($M)</t>
  </si>
  <si>
    <t xml:space="preserve">Baseline CET1 Capital from Capital_Summary</t>
  </si>
  <si>
    <t xml:space="preserve">+ Net income under stress ($M)</t>
  </si>
  <si>
    <t xml:space="preserve">Illustrative: PPNR still positive but much lower under stress (per DFAST driver logic)</t>
  </si>
  <si>
    <t xml:space="preserve">- Trading &amp; counterparty losses ($M)</t>
  </si>
  <si>
    <t xml:space="preserve">Illustrative: losses from the Counterparty Default Scenario component</t>
  </si>
  <si>
    <t xml:space="preserve">- Other credit losses ($M)</t>
  </si>
  <si>
    <t xml:space="preserve">Illustrative: incremental provisioning as unemployment/GDP assumptions bite</t>
  </si>
  <si>
    <t xml:space="preserve">Ending Stressed CET1 Capital ($M)</t>
  </si>
  <si>
    <t xml:space="preserve">Stressed CET1 Ratio</t>
  </si>
  <si>
    <t xml:space="preserve">Baseline CET1 Ratio (for comparison)</t>
  </si>
  <si>
    <t xml:space="preserve">Regulatory minimum (Basel III)</t>
  </si>
  <si>
    <t xml:space="preserve">Stressed RWA by category</t>
  </si>
  <si>
    <t xml:space="preserve">Current Basel III vs. Basel III Endgame</t>
  </si>
  <si>
    <t xml:space="preserve">Correction from an earlier draft of this workbook: a flat risk-weight cut on derivatives/securitization was NOT the right mechanism. The real driver for a custody bank like State Street is that Endgame adds two BRAND NEW capital charges that don't exist under current Basel III: (1) Operational Risk RWA, based on a 'Business Indicator' built largely from FEE income - State Street itself flagged this as a major concern in its own SEC filings, since custody banks earn most revenue from fees; and (2) a CVA (Credit Valuation Adjustment) charge on derivatives. The 2023 draft measured fee income on a GROSS basis (no netting) - the March 2026 re-proposal softens this to a NET basis, which is a real, specific relief for fee-heavy banks. Figures below are illustrative mock numbers, not State Street's actual revenue or capital impact.</t>
  </si>
  <si>
    <t xml:space="preserve">Business Indicator inputs (mock, illustrative)</t>
  </si>
  <si>
    <t xml:space="preserve">Interest income component ($M)</t>
  </si>
  <si>
    <t xml:space="preserve">Illustrative - proxy for NII on this mock book</t>
  </si>
  <si>
    <t xml:space="preserve">Fee (services) income ($M)</t>
  </si>
  <si>
    <t xml:space="preserve">Sized to reflect a fee-heavy, custody-style business</t>
  </si>
  <si>
    <t xml:space="preserve">Fee (services) expenses ($M)</t>
  </si>
  <si>
    <t xml:space="preserve">Cost of providing those fee services</t>
  </si>
  <si>
    <t xml:space="preserve">Financial component ($M)</t>
  </si>
  <si>
    <t xml:space="preserve">Illustrative - trading P&amp;L component of the BI</t>
  </si>
  <si>
    <t xml:space="preserve">Business Indicator (BI)</t>
  </si>
  <si>
    <t xml:space="preserve">2023 draft (gross)</t>
  </si>
  <si>
    <t xml:space="preserve">2026 re-proposal (net)</t>
  </si>
  <si>
    <t xml:space="preserve">Note</t>
  </si>
  <si>
    <t xml:space="preserve">Services leg</t>
  </si>
  <si>
    <t xml:space="preserve">2023: fee income + fee expenses, no netting. 2026: netted.</t>
  </si>
  <si>
    <t xml:space="preserve">Interest leg</t>
  </si>
  <si>
    <t xml:space="preserve">Financial leg</t>
  </si>
  <si>
    <t xml:space="preserve">Total BI</t>
  </si>
  <si>
    <t xml:space="preserve">Marginal coefficient (illustrative single bucket)</t>
  </si>
  <si>
    <t xml:space="preserve">Real rule uses tiered coefficients (12%/15%/18%) by BI size - simplified to one bucket here</t>
  </si>
  <si>
    <t xml:space="preserve">Internal Loss Multiplier (ILM)</t>
  </si>
  <si>
    <t xml:space="preserve">Proposal floors ILM at 1 - no credit for a clean loss history</t>
  </si>
  <si>
    <t xml:space="preserve">Operational Risk RWA = 12.5 x BI x coefficient x ILM</t>
  </si>
  <si>
    <t xml:space="preserve">  2023 draft (gross BI)</t>
  </si>
  <si>
    <t xml:space="preserve">  2026 re-proposal (net BI)</t>
  </si>
  <si>
    <t xml:space="preserve">CVA charge, as % of Derivatives RWA (illustrative)</t>
  </si>
  <si>
    <t xml:space="preserve">Brand new charge under Endgame for derivatives counterparty mark-to-market risk</t>
  </si>
  <si>
    <t xml:space="preserve">CVA RWA - baseline</t>
  </si>
  <si>
    <t xml:space="preserve">CVA RWA - stressed</t>
  </si>
  <si>
    <t xml:space="preserve">Total RWA by framework</t>
  </si>
  <si>
    <t xml:space="preserve">Framework</t>
  </si>
  <si>
    <t xml:space="preserve">Baseline RWA ($M)</t>
  </si>
  <si>
    <t xml:space="preserve">Current Basel III</t>
  </si>
  <si>
    <t xml:space="preserve">Endgame - 2023 draft (gross BI)</t>
  </si>
  <si>
    <t xml:space="preserve">Endgame - 2026 re-proposal (net BI)</t>
  </si>
  <si>
    <t xml:space="preserve">CET1 Ratio comparison</t>
  </si>
  <si>
    <t xml:space="preserve">Scenario</t>
  </si>
  <si>
    <t xml:space="preserve">CET1 Capital ($M)</t>
  </si>
  <si>
    <t xml:space="preserve">Current Basel III - Baseline</t>
  </si>
  <si>
    <t xml:space="preserve">Current Basel III - Stressed</t>
  </si>
  <si>
    <t xml:space="preserve">Endgame 2023 draft - Baseline</t>
  </si>
  <si>
    <t xml:space="preserve">Endgame 2023 draft - Stressed</t>
  </si>
  <si>
    <t xml:space="preserve">Endgame 2026 re-proposal - Baseline</t>
  </si>
  <si>
    <t xml:space="preserve">Endgame 2026 re-proposal - Stressed</t>
  </si>
  <si>
    <t xml:space="preserve">Regulatory minimum (Basel III): 4.5% - same floor applies under all frameworks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</si>
</sst>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"/>
    <numFmt numFmtId="166" formatCode="0.0%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3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0000093751/000009375126000397/stt-20260630.htm" TargetMode="External"/><Relationship Id="rId2" Type="http://schemas.openxmlformats.org/officeDocument/2006/relationships/hyperlink" Target="https://s203.q4cdn.com/888565246/files/doc_downloads/Dodd_Frank/2025/2025-Federal-Reserve-Stress-Test-Disclosure-vfinal.pdf" TargetMode="External"/><Relationship Id="rId3" Type="http://schemas.openxmlformats.org/officeDocument/2006/relationships/hyperlink" Target="https://s203.q4cdn.com/888565246/files/doc_financials/2026/q2/STT-2Q26-Earnings-Release-Addendum-vFinal.pdf" TargetMode="External"/><Relationship Id="rId4" Type="http://schemas.openxmlformats.org/officeDocument/2006/relationships/hyperlink" Target="https://www.federalreserve.gov/newsevents/pressreleases/bcreg20260319a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5" customFormat="false" ht="15" hidden="false" customHeight="false" outlineLevel="0" collapsed="false">
      <c r="A15" s="0" t="s">
        <v>12</v>
      </c>
    </row>
    <row r="16" customFormat="false" ht="15" hidden="false" customHeight="false" outlineLevel="0" collapsed="false">
      <c r="A16" s="0" t="s">
        <v>13</v>
      </c>
    </row>
    <row r="17" customFormat="false" ht="15" hidden="false" customHeight="false" outlineLevel="0" collapsed="false">
      <c r="A17" s="0" t="s">
        <v>14</v>
      </c>
    </row>
    <row r="18" customFormat="false" ht="15" hidden="false" customHeight="false" outlineLevel="0" collapsed="false">
      <c r="A18" s="0" t="s">
        <v>15</v>
      </c>
    </row>
    <row r="20" customFormat="false" ht="15" hidden="false" customHeight="false" outlineLevel="0" collapsed="false">
      <c r="A20" s="1" t="s">
        <v>16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0" t="s">
        <v>18</v>
      </c>
    </row>
    <row r="23" customFormat="false" ht="15" hidden="false" customHeight="false" outlineLevel="0" collapsed="false">
      <c r="A23" s="0" t="s">
        <v>19</v>
      </c>
    </row>
    <row r="24" customFormat="false" ht="15" hidden="false" customHeight="false" outlineLevel="0" collapsed="false">
      <c r="A24" s="0" t="s">
        <v>20</v>
      </c>
    </row>
    <row r="25" customFormat="false" ht="15" hidden="false" customHeight="false" outlineLevel="0" collapsed="false">
      <c r="A25" s="0" t="s">
        <v>21</v>
      </c>
    </row>
    <row r="26" customFormat="false" ht="15" hidden="false" customHeight="false" outlineLevel="0" collapsed="false">
      <c r="A26" s="0" t="s">
        <v>22</v>
      </c>
    </row>
    <row r="27" customFormat="false" ht="15" hidden="false" customHeight="false" outlineLevel="0" collapsed="false">
      <c r="A27" s="0" t="s">
        <v>23</v>
      </c>
    </row>
    <row r="28" customFormat="false" ht="15" hidden="false" customHeight="false" outlineLevel="0" collapsed="false">
      <c r="A28" s="0" t="s">
        <v>24</v>
      </c>
    </row>
    <row r="30" customFormat="false" ht="15" hidden="false" customHeight="false" outlineLevel="0" collapsed="false">
      <c r="A30" s="1" t="s">
        <v>25</v>
      </c>
      <c r="B30" s="1" t="s">
        <v>26</v>
      </c>
    </row>
    <row r="31" customFormat="false" ht="30" hidden="false" customHeight="true" outlineLevel="0" collapsed="false">
      <c r="A31" s="2" t="s">
        <v>27</v>
      </c>
      <c r="B31" s="3" t="s">
        <v>28</v>
      </c>
    </row>
    <row r="32" customFormat="false" ht="30" hidden="false" customHeight="true" outlineLevel="0" collapsed="false">
      <c r="A32" s="2" t="s">
        <v>29</v>
      </c>
      <c r="B32" s="3" t="s">
        <v>30</v>
      </c>
    </row>
    <row r="33" customFormat="false" ht="30" hidden="false" customHeight="true" outlineLevel="0" collapsed="false">
      <c r="A33" s="2" t="s">
        <v>31</v>
      </c>
      <c r="B33" s="3" t="s">
        <v>32</v>
      </c>
    </row>
    <row r="34" customFormat="false" ht="30" hidden="false" customHeight="true" outlineLevel="0" collapsed="false">
      <c r="A34" s="2" t="s">
        <v>33</v>
      </c>
      <c r="B34" s="3" t="s">
        <v>34</v>
      </c>
    </row>
    <row r="36" customFormat="false" ht="15" hidden="false" customHeight="false" outlineLevel="0" collapsed="false">
      <c r="A36" s="1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</sheetData>
  <hyperlinks>
    <hyperlink ref="B31" r:id="rId1" display="https://www.sec.gov/Archives/edgar/data/0000093751/000009375126000397/stt-20260630.htm"/>
    <hyperlink ref="B32" r:id="rId2" display="https://s203.q4cdn.com/888565246/files/doc_downloads/Dodd_Frank/2025/2025-Federal-Reserve-Stress-Test-Disclosure-vfinal.pdf"/>
    <hyperlink ref="B33" r:id="rId3" display="https://s203.q4cdn.com/888565246/files/doc_financials/2026/q2/STT-2Q26-Earnings-Release-Addendum-vFinal.pdf"/>
    <hyperlink ref="B34" r:id="rId4" display="https://www.federalreserve.gov/newsevents/pressreleases/bcreg20260319a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41.75" hidden="false" customHeight="false" outlineLevel="0" collapsed="false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</row>
    <row r="2" customFormat="false" ht="15" hidden="false" customHeight="false" outlineLevel="0" collapsed="false">
      <c r="A2" s="5" t="s">
        <v>50</v>
      </c>
      <c r="B2" s="5" t="s">
        <v>51</v>
      </c>
      <c r="C2" s="5" t="s">
        <v>52</v>
      </c>
      <c r="D2" s="6" t="n">
        <v>420</v>
      </c>
      <c r="E2" s="6" t="n">
        <v>435</v>
      </c>
      <c r="F2" s="7" t="n">
        <v>0.02</v>
      </c>
      <c r="G2" s="7" t="n">
        <v>0.2</v>
      </c>
      <c r="H2" s="8" t="n">
        <f aca="false">MAX(0,D2-E2*(1-F2))</f>
        <v>0</v>
      </c>
      <c r="I2" s="8" t="n">
        <f aca="false">H2*G2</f>
        <v>0</v>
      </c>
      <c r="J2" s="9" t="s">
        <v>53</v>
      </c>
    </row>
    <row r="3" customFormat="false" ht="15" hidden="false" customHeight="false" outlineLevel="0" collapsed="false">
      <c r="A3" s="5" t="s">
        <v>54</v>
      </c>
      <c r="B3" s="5" t="s">
        <v>51</v>
      </c>
      <c r="C3" s="5" t="s">
        <v>55</v>
      </c>
      <c r="D3" s="6" t="n">
        <v>310</v>
      </c>
      <c r="E3" s="6" t="n">
        <v>318</v>
      </c>
      <c r="F3" s="7" t="n">
        <v>0.02</v>
      </c>
      <c r="G3" s="7" t="n">
        <v>0.2</v>
      </c>
      <c r="H3" s="8" t="n">
        <f aca="false">MAX(0,D3-E3*(1-F3))</f>
        <v>0</v>
      </c>
      <c r="I3" s="8" t="n">
        <f aca="false">H3*G3</f>
        <v>0</v>
      </c>
      <c r="J3" s="9" t="s">
        <v>53</v>
      </c>
    </row>
    <row r="4" customFormat="false" ht="15" hidden="false" customHeight="false" outlineLevel="0" collapsed="false">
      <c r="A4" s="5" t="s">
        <v>56</v>
      </c>
      <c r="B4" s="5" t="s">
        <v>51</v>
      </c>
      <c r="C4" s="5" t="s">
        <v>57</v>
      </c>
      <c r="D4" s="6" t="n">
        <v>260</v>
      </c>
      <c r="E4" s="6" t="n">
        <v>268</v>
      </c>
      <c r="F4" s="7" t="n">
        <v>0.02</v>
      </c>
      <c r="G4" s="7" t="n">
        <v>0.2</v>
      </c>
      <c r="H4" s="8" t="n">
        <f aca="false">MAX(0,D4-E4*(1-F4))</f>
        <v>0</v>
      </c>
      <c r="I4" s="8" t="n">
        <f aca="false">H4*G4</f>
        <v>0</v>
      </c>
      <c r="J4" s="9" t="s">
        <v>53</v>
      </c>
    </row>
    <row r="5" customFormat="false" ht="15" hidden="false" customHeight="false" outlineLevel="0" collapsed="false">
      <c r="A5" s="5" t="s">
        <v>58</v>
      </c>
      <c r="B5" s="5" t="s">
        <v>51</v>
      </c>
      <c r="C5" s="5" t="s">
        <v>59</v>
      </c>
      <c r="D5" s="6" t="n">
        <v>180</v>
      </c>
      <c r="E5" s="6" t="n">
        <v>185</v>
      </c>
      <c r="F5" s="7" t="n">
        <v>0.02</v>
      </c>
      <c r="G5" s="7" t="n">
        <v>0.2</v>
      </c>
      <c r="H5" s="8" t="n">
        <f aca="false">MAX(0,D5-E5*(1-F5))</f>
        <v>0</v>
      </c>
      <c r="I5" s="8" t="n">
        <f aca="false">H5*G5</f>
        <v>0</v>
      </c>
      <c r="J5" s="9" t="s">
        <v>53</v>
      </c>
    </row>
    <row r="6" customFormat="false" ht="15" hidden="false" customHeight="false" outlineLevel="0" collapsed="false">
      <c r="A6" s="5" t="s">
        <v>60</v>
      </c>
      <c r="B6" s="5" t="s">
        <v>61</v>
      </c>
      <c r="C6" s="5" t="s">
        <v>62</v>
      </c>
      <c r="D6" s="6" t="n">
        <v>150</v>
      </c>
      <c r="E6" s="6" t="n">
        <v>90</v>
      </c>
      <c r="F6" s="7" t="n">
        <v>0.05</v>
      </c>
      <c r="G6" s="7" t="n">
        <v>0.5</v>
      </c>
      <c r="H6" s="8" t="n">
        <f aca="false">MAX(0,D6-E6*(1-F6))</f>
        <v>64.5</v>
      </c>
      <c r="I6" s="8" t="n">
        <f aca="false">H6*G6</f>
        <v>32.25</v>
      </c>
      <c r="J6" s="9" t="s">
        <v>53</v>
      </c>
    </row>
    <row r="7" customFormat="false" ht="15" hidden="false" customHeight="false" outlineLevel="0" collapsed="false">
      <c r="A7" s="5" t="s">
        <v>63</v>
      </c>
      <c r="B7" s="5" t="s">
        <v>61</v>
      </c>
      <c r="C7" s="5" t="s">
        <v>64</v>
      </c>
      <c r="D7" s="6" t="n">
        <v>130</v>
      </c>
      <c r="E7" s="6" t="n">
        <v>70</v>
      </c>
      <c r="F7" s="7" t="n">
        <v>0.05</v>
      </c>
      <c r="G7" s="7" t="n">
        <v>0.5</v>
      </c>
      <c r="H7" s="8" t="n">
        <f aca="false">MAX(0,D7-E7*(1-F7))</f>
        <v>63.5</v>
      </c>
      <c r="I7" s="8" t="n">
        <f aca="false">H7*G7</f>
        <v>31.75</v>
      </c>
      <c r="J7" s="9" t="s">
        <v>53</v>
      </c>
    </row>
    <row r="8" customFormat="false" ht="15" hidden="false" customHeight="false" outlineLevel="0" collapsed="false">
      <c r="A8" s="5" t="s">
        <v>65</v>
      </c>
      <c r="B8" s="5" t="s">
        <v>61</v>
      </c>
      <c r="C8" s="5" t="s">
        <v>66</v>
      </c>
      <c r="D8" s="6" t="n">
        <v>95</v>
      </c>
      <c r="E8" s="6" t="n">
        <v>40</v>
      </c>
      <c r="F8" s="7" t="n">
        <v>0.05</v>
      </c>
      <c r="G8" s="7" t="n">
        <v>0.5</v>
      </c>
      <c r="H8" s="8" t="n">
        <f aca="false">MAX(0,D8-E8*(1-F8))</f>
        <v>57</v>
      </c>
      <c r="I8" s="8" t="n">
        <f aca="false">H8*G8</f>
        <v>28.5</v>
      </c>
      <c r="J8" s="9" t="s">
        <v>53</v>
      </c>
    </row>
    <row r="9" customFormat="false" ht="15" hidden="false" customHeight="false" outlineLevel="0" collapsed="false">
      <c r="A9" s="5" t="s">
        <v>67</v>
      </c>
      <c r="B9" s="5" t="s">
        <v>61</v>
      </c>
      <c r="C9" s="5" t="s">
        <v>68</v>
      </c>
      <c r="D9" s="6" t="n">
        <v>80</v>
      </c>
      <c r="E9" s="6" t="n">
        <v>45</v>
      </c>
      <c r="F9" s="7" t="n">
        <v>0.05</v>
      </c>
      <c r="G9" s="7" t="n">
        <v>0.2</v>
      </c>
      <c r="H9" s="8" t="n">
        <f aca="false">MAX(0,D9-E9*(1-F9))</f>
        <v>37.25</v>
      </c>
      <c r="I9" s="8" t="n">
        <f aca="false">H9*G9</f>
        <v>7.45</v>
      </c>
      <c r="J9" s="9" t="s">
        <v>53</v>
      </c>
    </row>
    <row r="10" customFormat="false" ht="15" hidden="false" customHeight="false" outlineLevel="0" collapsed="false">
      <c r="A10" s="5" t="s">
        <v>69</v>
      </c>
      <c r="B10" s="5" t="s">
        <v>70</v>
      </c>
      <c r="C10" s="5" t="s">
        <v>71</v>
      </c>
      <c r="D10" s="6" t="n">
        <v>60</v>
      </c>
      <c r="E10" s="6" t="n">
        <v>20</v>
      </c>
      <c r="F10" s="7" t="n">
        <v>0.1</v>
      </c>
      <c r="G10" s="7" t="n">
        <v>1</v>
      </c>
      <c r="H10" s="8" t="n">
        <f aca="false">MAX(0,D10-E10*(1-F10))</f>
        <v>42</v>
      </c>
      <c r="I10" s="8" t="n">
        <f aca="false">H10*G10</f>
        <v>42</v>
      </c>
      <c r="J10" s="9" t="s">
        <v>53</v>
      </c>
    </row>
    <row r="11" customFormat="false" ht="15" hidden="false" customHeight="false" outlineLevel="0" collapsed="false">
      <c r="A11" s="5" t="s">
        <v>72</v>
      </c>
      <c r="B11" s="5" t="s">
        <v>70</v>
      </c>
      <c r="C11" s="5" t="s">
        <v>73</v>
      </c>
      <c r="D11" s="6" t="n">
        <v>45</v>
      </c>
      <c r="E11" s="6" t="n">
        <v>15</v>
      </c>
      <c r="F11" s="7" t="n">
        <v>0.1</v>
      </c>
      <c r="G11" s="7" t="n">
        <v>1</v>
      </c>
      <c r="H11" s="8" t="n">
        <f aca="false">MAX(0,D11-E11*(1-F11))</f>
        <v>31.5</v>
      </c>
      <c r="I11" s="8" t="n">
        <f aca="false">H11*G11</f>
        <v>31.5</v>
      </c>
      <c r="J11" s="9" t="s">
        <v>53</v>
      </c>
    </row>
    <row r="12" customFormat="false" ht="15" hidden="false" customHeight="false" outlineLevel="0" collapsed="false">
      <c r="A12" s="5" t="s">
        <v>74</v>
      </c>
      <c r="B12" s="5" t="s">
        <v>70</v>
      </c>
      <c r="C12" s="5" t="s">
        <v>75</v>
      </c>
      <c r="D12" s="6" t="n">
        <v>35</v>
      </c>
      <c r="E12" s="6" t="n">
        <v>10</v>
      </c>
      <c r="F12" s="7" t="n">
        <v>0.1</v>
      </c>
      <c r="G12" s="7" t="n">
        <v>1</v>
      </c>
      <c r="H12" s="8" t="n">
        <f aca="false">MAX(0,D12-E12*(1-F12))</f>
        <v>26</v>
      </c>
      <c r="I12" s="8" t="n">
        <f aca="false">H12*G12</f>
        <v>26</v>
      </c>
      <c r="J12" s="9" t="s">
        <v>53</v>
      </c>
    </row>
    <row r="13" customFormat="false" ht="15" hidden="false" customHeight="false" outlineLevel="0" collapsed="false">
      <c r="A13" s="5" t="s">
        <v>76</v>
      </c>
      <c r="B13" s="5" t="s">
        <v>77</v>
      </c>
      <c r="C13" s="5" t="s">
        <v>78</v>
      </c>
      <c r="D13" s="6" t="n">
        <v>25</v>
      </c>
      <c r="E13" s="6" t="n">
        <v>5</v>
      </c>
      <c r="F13" s="7" t="n">
        <v>0.03</v>
      </c>
      <c r="G13" s="7" t="n">
        <v>0.75</v>
      </c>
      <c r="H13" s="8" t="n">
        <f aca="false">MAX(0,D13-E13*(1-F13))</f>
        <v>20.15</v>
      </c>
      <c r="I13" s="8" t="n">
        <f aca="false">H13*G13</f>
        <v>15.1125</v>
      </c>
      <c r="J13" s="9" t="s">
        <v>79</v>
      </c>
    </row>
    <row r="14" customFormat="false" ht="15" hidden="false" customHeight="false" outlineLevel="0" collapsed="false">
      <c r="A14" s="5" t="s">
        <v>80</v>
      </c>
      <c r="B14" s="5" t="s">
        <v>77</v>
      </c>
      <c r="C14" s="5" t="s">
        <v>81</v>
      </c>
      <c r="D14" s="6" t="n">
        <v>20</v>
      </c>
      <c r="E14" s="6" t="n">
        <v>4</v>
      </c>
      <c r="F14" s="7" t="n">
        <v>0.03</v>
      </c>
      <c r="G14" s="7" t="n">
        <v>0.75</v>
      </c>
      <c r="H14" s="8" t="n">
        <f aca="false">MAX(0,D14-E14*(1-F14))</f>
        <v>16.12</v>
      </c>
      <c r="I14" s="8" t="n">
        <f aca="false">H14*G14</f>
        <v>12.09</v>
      </c>
      <c r="J14" s="9" t="s">
        <v>79</v>
      </c>
    </row>
    <row r="15" customFormat="false" ht="15" hidden="false" customHeight="false" outlineLevel="0" collapsed="false">
      <c r="A15" s="5" t="s">
        <v>82</v>
      </c>
      <c r="B15" s="5" t="s">
        <v>83</v>
      </c>
      <c r="C15" s="5" t="s">
        <v>84</v>
      </c>
      <c r="D15" s="6" t="n">
        <v>300</v>
      </c>
      <c r="E15" s="6" t="n">
        <v>315</v>
      </c>
      <c r="F15" s="7" t="n">
        <v>0.02</v>
      </c>
      <c r="G15" s="7" t="n">
        <v>0.2</v>
      </c>
      <c r="H15" s="8" t="n">
        <f aca="false">MAX(0,D15-E15*(1-F15))</f>
        <v>0</v>
      </c>
      <c r="I15" s="8" t="n">
        <f aca="false">H15*G15</f>
        <v>0</v>
      </c>
      <c r="J15" s="9" t="s">
        <v>79</v>
      </c>
    </row>
    <row r="16" customFormat="false" ht="15" hidden="false" customHeight="false" outlineLevel="0" collapsed="false">
      <c r="A16" s="5" t="s">
        <v>85</v>
      </c>
      <c r="B16" s="5" t="s">
        <v>83</v>
      </c>
      <c r="C16" s="5" t="s">
        <v>86</v>
      </c>
      <c r="D16" s="6" t="n">
        <v>220</v>
      </c>
      <c r="E16" s="6" t="n">
        <v>231</v>
      </c>
      <c r="F16" s="7" t="n">
        <v>0.02</v>
      </c>
      <c r="G16" s="7" t="n">
        <v>0.2</v>
      </c>
      <c r="H16" s="8" t="n">
        <f aca="false">MAX(0,D16-E16*(1-F16))</f>
        <v>0</v>
      </c>
      <c r="I16" s="8" t="n">
        <f aca="false">H16*G16</f>
        <v>0</v>
      </c>
      <c r="J16" s="9" t="s">
        <v>79</v>
      </c>
    </row>
    <row r="17" customFormat="false" ht="15" hidden="false" customHeight="false" outlineLevel="0" collapsed="false">
      <c r="A17" s="5" t="s">
        <v>87</v>
      </c>
      <c r="B17" s="5" t="s">
        <v>83</v>
      </c>
      <c r="C17" s="5" t="s">
        <v>88</v>
      </c>
      <c r="D17" s="6" t="n">
        <v>150</v>
      </c>
      <c r="E17" s="6" t="n">
        <v>158</v>
      </c>
      <c r="F17" s="7" t="n">
        <v>0.02</v>
      </c>
      <c r="G17" s="7" t="n">
        <v>0.2</v>
      </c>
      <c r="H17" s="8" t="n">
        <f aca="false">MAX(0,D17-E17*(1-F17))</f>
        <v>0</v>
      </c>
      <c r="I17" s="8" t="n">
        <f aca="false">H17*G17</f>
        <v>0</v>
      </c>
      <c r="J17" s="9" t="s">
        <v>79</v>
      </c>
    </row>
    <row r="19" customFormat="false" ht="15" hidden="false" customHeight="false" outlineLevel="0" collapsed="false">
      <c r="A19" s="10"/>
      <c r="B19" s="10"/>
      <c r="C19" s="10" t="s">
        <v>89</v>
      </c>
      <c r="D19" s="11" t="n">
        <f aca="false">SUM(D2:D17)</f>
        <v>2480</v>
      </c>
      <c r="E19" s="11" t="n">
        <f aca="false">SUM(E2:E17)</f>
        <v>2209</v>
      </c>
      <c r="F19" s="10"/>
      <c r="G19" s="10"/>
      <c r="H19" s="11" t="n">
        <f aca="false">SUM(H2:H17)</f>
        <v>358.02</v>
      </c>
      <c r="I19" s="11" t="n">
        <f aca="false">SUM(I2:I17)</f>
        <v>226.6525</v>
      </c>
      <c r="J19" s="10"/>
    </row>
    <row r="22" customFormat="false" ht="15" hidden="false" customHeight="false" outlineLevel="0" collapsed="false">
      <c r="B22" s="1" t="s">
        <v>90</v>
      </c>
      <c r="J22" s="1" t="s">
        <v>91</v>
      </c>
    </row>
    <row r="23" customFormat="false" ht="15" hidden="false" customHeight="false" outlineLevel="0" collapsed="false">
      <c r="B23" s="12" t="s">
        <v>83</v>
      </c>
      <c r="I23" s="13" t="n">
        <f aca="false">SUMIF(B2:B17,B23,I2:I17)</f>
        <v>0</v>
      </c>
      <c r="J23" s="14" t="n">
        <f aca="false">I23/$I$19</f>
        <v>0</v>
      </c>
    </row>
    <row r="24" customFormat="false" ht="15" hidden="false" customHeight="false" outlineLevel="0" collapsed="false">
      <c r="B24" s="12" t="s">
        <v>70</v>
      </c>
      <c r="I24" s="13" t="n">
        <f aca="false">SUMIF(B2:B17,B24,I2:I17)</f>
        <v>99.5</v>
      </c>
      <c r="J24" s="14" t="n">
        <f aca="false">I24/$I$19</f>
        <v>0.438998025611895</v>
      </c>
    </row>
    <row r="25" customFormat="false" ht="15" hidden="false" customHeight="false" outlineLevel="0" collapsed="false">
      <c r="B25" s="12" t="s">
        <v>61</v>
      </c>
      <c r="I25" s="13" t="n">
        <f aca="false">SUMIF(B2:B17,B25,I2:I17)</f>
        <v>99.95</v>
      </c>
      <c r="J25" s="14" t="n">
        <f aca="false">I25/$I$19</f>
        <v>0.44098344381818</v>
      </c>
    </row>
    <row r="26" customFormat="false" ht="15" hidden="false" customHeight="false" outlineLevel="0" collapsed="false">
      <c r="B26" s="12" t="s">
        <v>51</v>
      </c>
      <c r="I26" s="13" t="n">
        <f aca="false">SUMIF(B2:B17,B26,I2:I17)</f>
        <v>0</v>
      </c>
      <c r="J26" s="14" t="n">
        <f aca="false">I26/$I$19</f>
        <v>0</v>
      </c>
    </row>
    <row r="27" customFormat="false" ht="15" hidden="false" customHeight="false" outlineLevel="0" collapsed="false">
      <c r="B27" s="12" t="s">
        <v>77</v>
      </c>
      <c r="I27" s="13" t="n">
        <f aca="false">SUMIF(B2:B17,B27,I2:I17)</f>
        <v>27.2025</v>
      </c>
      <c r="J27" s="14" t="n">
        <f aca="false">I27/$I$19</f>
        <v>0.120018530569925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5"/>
  </cols>
  <sheetData>
    <row r="1" customFormat="false" ht="16.15" hidden="false" customHeight="false" outlineLevel="0" collapsed="false">
      <c r="A1" s="15" t="s">
        <v>92</v>
      </c>
    </row>
    <row r="3" customFormat="false" ht="15" hidden="false" customHeight="false" outlineLevel="0" collapsed="false">
      <c r="A3" s="1" t="s">
        <v>93</v>
      </c>
      <c r="B3" s="16" t="n">
        <f aca="false">Portfolio!I19</f>
        <v>226.6525</v>
      </c>
      <c r="C3" s="17" t="s">
        <v>94</v>
      </c>
    </row>
    <row r="4" customFormat="false" ht="15" hidden="false" customHeight="false" outlineLevel="0" collapsed="false">
      <c r="A4" s="1" t="s">
        <v>95</v>
      </c>
      <c r="B4" s="18" t="n">
        <v>24.5</v>
      </c>
      <c r="C4" s="17" t="s">
        <v>96</v>
      </c>
    </row>
    <row r="5" customFormat="false" ht="15" hidden="false" customHeight="false" outlineLevel="0" collapsed="false">
      <c r="A5" s="1" t="s">
        <v>97</v>
      </c>
      <c r="B5" s="19" t="n">
        <f aca="false">B4/B3</f>
        <v>0.10809499123107</v>
      </c>
      <c r="C5" s="17" t="s">
        <v>98</v>
      </c>
    </row>
    <row r="7" customFormat="false" ht="15" hidden="false" customHeight="false" outlineLevel="0" collapsed="false">
      <c r="A7" s="1" t="s">
        <v>99</v>
      </c>
      <c r="B7" s="12"/>
    </row>
    <row r="8" customFormat="false" ht="15" hidden="false" customHeight="false" outlineLevel="0" collapsed="false">
      <c r="A8" s="1" t="s">
        <v>100</v>
      </c>
      <c r="B8" s="20" t="n">
        <v>0.108</v>
      </c>
      <c r="C8" s="17" t="s">
        <v>101</v>
      </c>
    </row>
    <row r="9" customFormat="false" ht="15" hidden="false" customHeight="false" outlineLevel="0" collapsed="false">
      <c r="A9" s="1" t="s">
        <v>102</v>
      </c>
      <c r="B9" s="19" t="n">
        <f aca="false">B5-B8</f>
        <v>9.49912310695827E-005</v>
      </c>
      <c r="C9" s="17" t="s">
        <v>103</v>
      </c>
    </row>
    <row r="11" customFormat="false" ht="15" hidden="false" customHeight="false" outlineLevel="0" collapsed="false">
      <c r="A11" s="1" t="s">
        <v>104</v>
      </c>
      <c r="B11" s="12"/>
    </row>
    <row r="12" customFormat="false" ht="15" hidden="false" customHeight="false" outlineLevel="0" collapsed="false">
      <c r="A12" s="1" t="s">
        <v>105</v>
      </c>
      <c r="B12" s="19" t="n">
        <v>0.981</v>
      </c>
      <c r="C12" s="17" t="s">
        <v>106</v>
      </c>
    </row>
    <row r="13" customFormat="false" ht="15" hidden="false" customHeight="false" outlineLevel="0" collapsed="false">
      <c r="A13" s="1" t="s">
        <v>107</v>
      </c>
      <c r="B13" s="19" t="n">
        <f aca="false">(Portfolio!I24+Portfolio!I25+Portfolio!I26+Portfolio!I27+Portfolio!I23)/Portfolio!I19</f>
        <v>1</v>
      </c>
      <c r="C13" s="1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9" min="6" style="0" width="14"/>
  </cols>
  <sheetData>
    <row r="1" customFormat="false" ht="16.15" hidden="false" customHeight="false" outlineLevel="0" collapsed="false">
      <c r="A1" s="15" t="s">
        <v>109</v>
      </c>
    </row>
    <row r="2" customFormat="false" ht="45" hidden="false" customHeight="true" outlineLevel="0" collapsed="false">
      <c r="A2" s="21" t="s">
        <v>110</v>
      </c>
      <c r="B2" s="21"/>
      <c r="C2" s="21"/>
      <c r="D2" s="21"/>
      <c r="E2" s="21"/>
      <c r="F2" s="21"/>
      <c r="G2" s="21"/>
      <c r="H2" s="21"/>
      <c r="I2" s="21"/>
    </row>
    <row r="4" customFormat="false" ht="15" hidden="false" customHeight="false" outlineLevel="0" collapsed="false">
      <c r="A4" s="1" t="s">
        <v>111</v>
      </c>
    </row>
    <row r="5" customFormat="false" ht="15" hidden="false" customHeight="false" outlineLevel="0" collapsed="false">
      <c r="A5" s="0" t="s">
        <v>112</v>
      </c>
      <c r="B5" s="20" t="n">
        <v>-0.5</v>
      </c>
      <c r="C5" s="17" t="s">
        <v>113</v>
      </c>
    </row>
    <row r="6" customFormat="false" ht="15" hidden="false" customHeight="false" outlineLevel="0" collapsed="false">
      <c r="A6" s="0" t="s">
        <v>114</v>
      </c>
      <c r="B6" s="20" t="n">
        <v>0.05</v>
      </c>
      <c r="C6" s="17" t="s">
        <v>115</v>
      </c>
    </row>
    <row r="7" customFormat="false" ht="15" hidden="false" customHeight="false" outlineLevel="0" collapsed="false">
      <c r="A7" s="0" t="s">
        <v>116</v>
      </c>
      <c r="B7" s="20" t="n">
        <v>0.1</v>
      </c>
      <c r="C7" s="17" t="s">
        <v>117</v>
      </c>
    </row>
    <row r="9" customFormat="false" ht="28.35" hidden="false" customHeight="false" outlineLevel="0" collapsed="false">
      <c r="A9" s="4" t="s">
        <v>40</v>
      </c>
      <c r="B9" s="4" t="s">
        <v>41</v>
      </c>
      <c r="C9" s="4" t="s">
        <v>42</v>
      </c>
      <c r="D9" s="4" t="s">
        <v>43</v>
      </c>
      <c r="E9" s="4" t="s">
        <v>118</v>
      </c>
      <c r="F9" s="4" t="s">
        <v>119</v>
      </c>
      <c r="G9" s="4" t="s">
        <v>120</v>
      </c>
      <c r="H9" s="4" t="s">
        <v>121</v>
      </c>
      <c r="I9" s="4" t="s">
        <v>122</v>
      </c>
    </row>
    <row r="10" customFormat="false" ht="15" hidden="false" customHeight="false" outlineLevel="0" collapsed="false">
      <c r="A10" s="22" t="str">
        <f aca="false">Portfolio!A2</f>
        <v>Repo-01</v>
      </c>
      <c r="B10" s="22" t="str">
        <f aca="false">Portfolio!B2</f>
        <v>Repo-style transactions</v>
      </c>
      <c r="C10" s="22" t="str">
        <f aca="false">Portfolio!C2</f>
        <v>ABC Broker-Dealer</v>
      </c>
      <c r="D10" s="8" t="n">
        <f aca="false">Portfolio!D2</f>
        <v>420</v>
      </c>
      <c r="E10" s="8" t="n">
        <f aca="false">IF(Portfolio!J2="Y",Portfolio!E2*(1+$B$5),Portfolio!E2)</f>
        <v>435</v>
      </c>
      <c r="F10" s="23" t="n">
        <f aca="false">Portfolio!F2+$B$6</f>
        <v>0.07</v>
      </c>
      <c r="G10" s="23" t="n">
        <f aca="false">MIN(1,Portfolio!G2+$B$7)</f>
        <v>0.3</v>
      </c>
      <c r="H10" s="8" t="n">
        <f aca="false">MAX(0,D10-E10*(1-F10))</f>
        <v>15.45</v>
      </c>
      <c r="I10" s="8" t="n">
        <f aca="false">H10*G10</f>
        <v>4.63500000000001</v>
      </c>
    </row>
    <row r="11" customFormat="false" ht="15" hidden="false" customHeight="false" outlineLevel="0" collapsed="false">
      <c r="A11" s="22" t="str">
        <f aca="false">Portfolio!A3</f>
        <v>Repo-02</v>
      </c>
      <c r="B11" s="22" t="str">
        <f aca="false">Portfolio!B3</f>
        <v>Repo-style transactions</v>
      </c>
      <c r="C11" s="22" t="str">
        <f aca="false">Portfolio!C3</f>
        <v>DEF Broker-Dealer</v>
      </c>
      <c r="D11" s="8" t="n">
        <f aca="false">Portfolio!D3</f>
        <v>310</v>
      </c>
      <c r="E11" s="8" t="n">
        <f aca="false">IF(Portfolio!J3="Y",Portfolio!E3*(1+$B$5),Portfolio!E3)</f>
        <v>318</v>
      </c>
      <c r="F11" s="23" t="n">
        <f aca="false">Portfolio!F3+$B$6</f>
        <v>0.07</v>
      </c>
      <c r="G11" s="23" t="n">
        <f aca="false">MIN(1,Portfolio!G3+$B$7)</f>
        <v>0.3</v>
      </c>
      <c r="H11" s="8" t="n">
        <f aca="false">MAX(0,D11-E11*(1-F11))</f>
        <v>14.26</v>
      </c>
      <c r="I11" s="8" t="n">
        <f aca="false">H11*G11</f>
        <v>4.27800000000002</v>
      </c>
    </row>
    <row r="12" customFormat="false" ht="15" hidden="false" customHeight="false" outlineLevel="0" collapsed="false">
      <c r="A12" s="22" t="str">
        <f aca="false">Portfolio!A4</f>
        <v>Repo-03</v>
      </c>
      <c r="B12" s="22" t="str">
        <f aca="false">Portfolio!B4</f>
        <v>Repo-style transactions</v>
      </c>
      <c r="C12" s="22" t="str">
        <f aca="false">Portfolio!C4</f>
        <v>GHI Sponsored Repo Client (FICC)</v>
      </c>
      <c r="D12" s="8" t="n">
        <f aca="false">Portfolio!D4</f>
        <v>260</v>
      </c>
      <c r="E12" s="8" t="n">
        <f aca="false">IF(Portfolio!J4="Y",Portfolio!E4*(1+$B$5),Portfolio!E4)</f>
        <v>268</v>
      </c>
      <c r="F12" s="23" t="n">
        <f aca="false">Portfolio!F4+$B$6</f>
        <v>0.07</v>
      </c>
      <c r="G12" s="23" t="n">
        <f aca="false">MIN(1,Portfolio!G4+$B$7)</f>
        <v>0.3</v>
      </c>
      <c r="H12" s="8" t="n">
        <f aca="false">MAX(0,D12-E12*(1-F12))</f>
        <v>10.76</v>
      </c>
      <c r="I12" s="8" t="n">
        <f aca="false">H12*G12</f>
        <v>3.22800000000001</v>
      </c>
    </row>
    <row r="13" customFormat="false" ht="15" hidden="false" customHeight="false" outlineLevel="0" collapsed="false">
      <c r="A13" s="22" t="str">
        <f aca="false">Portfolio!A5</f>
        <v>Repo-04</v>
      </c>
      <c r="B13" s="22" t="str">
        <f aca="false">Portfolio!B5</f>
        <v>Repo-style transactions</v>
      </c>
      <c r="C13" s="22" t="str">
        <f aca="false">Portfolio!C5</f>
        <v>JKL Sponsored Repo Client (FICC)</v>
      </c>
      <c r="D13" s="8" t="n">
        <f aca="false">Portfolio!D5</f>
        <v>180</v>
      </c>
      <c r="E13" s="8" t="n">
        <f aca="false">IF(Portfolio!J5="Y",Portfolio!E5*(1+$B$5),Portfolio!E5)</f>
        <v>185</v>
      </c>
      <c r="F13" s="23" t="n">
        <f aca="false">Portfolio!F5+$B$6</f>
        <v>0.07</v>
      </c>
      <c r="G13" s="23" t="n">
        <f aca="false">MIN(1,Portfolio!G5+$B$7)</f>
        <v>0.3</v>
      </c>
      <c r="H13" s="8" t="n">
        <f aca="false">MAX(0,D13-E13*(1-F13))</f>
        <v>7.95000000000002</v>
      </c>
      <c r="I13" s="8" t="n">
        <f aca="false">H13*G13</f>
        <v>2.38500000000001</v>
      </c>
    </row>
    <row r="14" customFormat="false" ht="15" hidden="false" customHeight="false" outlineLevel="0" collapsed="false">
      <c r="A14" s="22" t="str">
        <f aca="false">Portfolio!A6</f>
        <v>Deriv-01</v>
      </c>
      <c r="B14" s="22" t="str">
        <f aca="false">Portfolio!B6</f>
        <v>OTC derivatives</v>
      </c>
      <c r="C14" s="22" t="str">
        <f aca="false">Portfolio!C6</f>
        <v>MNO Asset Manager - FX fwd</v>
      </c>
      <c r="D14" s="8" t="n">
        <f aca="false">Portfolio!D6</f>
        <v>150</v>
      </c>
      <c r="E14" s="8" t="n">
        <f aca="false">IF(Portfolio!J6="Y",Portfolio!E6*(1+$B$5),Portfolio!E6)</f>
        <v>90</v>
      </c>
      <c r="F14" s="23" t="n">
        <f aca="false">Portfolio!F6+$B$6</f>
        <v>0.1</v>
      </c>
      <c r="G14" s="23" t="n">
        <f aca="false">MIN(1,Portfolio!G6+$B$7)</f>
        <v>0.6</v>
      </c>
      <c r="H14" s="8" t="n">
        <f aca="false">MAX(0,D14-E14*(1-F14))</f>
        <v>69</v>
      </c>
      <c r="I14" s="8" t="n">
        <f aca="false">H14*G14</f>
        <v>41.4</v>
      </c>
    </row>
    <row r="15" customFormat="false" ht="15" hidden="false" customHeight="false" outlineLevel="0" collapsed="false">
      <c r="A15" s="22" t="str">
        <f aca="false">Portfolio!A7</f>
        <v>Deriv-02</v>
      </c>
      <c r="B15" s="22" t="str">
        <f aca="false">Portfolio!B7</f>
        <v>OTC derivatives</v>
      </c>
      <c r="C15" s="22" t="str">
        <f aca="false">Portfolio!C7</f>
        <v>PQR Asset Manager - FX swap</v>
      </c>
      <c r="D15" s="8" t="n">
        <f aca="false">Portfolio!D7</f>
        <v>130</v>
      </c>
      <c r="E15" s="8" t="n">
        <f aca="false">IF(Portfolio!J7="Y",Portfolio!E7*(1+$B$5),Portfolio!E7)</f>
        <v>70</v>
      </c>
      <c r="F15" s="23" t="n">
        <f aca="false">Portfolio!F7+$B$6</f>
        <v>0.1</v>
      </c>
      <c r="G15" s="23" t="n">
        <f aca="false">MIN(1,Portfolio!G7+$B$7)</f>
        <v>0.6</v>
      </c>
      <c r="H15" s="8" t="n">
        <f aca="false">MAX(0,D15-E15*(1-F15))</f>
        <v>67</v>
      </c>
      <c r="I15" s="8" t="n">
        <f aca="false">H15*G15</f>
        <v>40.2</v>
      </c>
    </row>
    <row r="16" customFormat="false" ht="15" hidden="false" customHeight="false" outlineLevel="0" collapsed="false">
      <c r="A16" s="22" t="str">
        <f aca="false">Portfolio!A8</f>
        <v>Deriv-03</v>
      </c>
      <c r="B16" s="22" t="str">
        <f aca="false">Portfolio!B8</f>
        <v>OTC derivatives</v>
      </c>
      <c r="C16" s="22" t="str">
        <f aca="false">Portfolio!C8</f>
        <v>STU Pension Fund - IR swap</v>
      </c>
      <c r="D16" s="8" t="n">
        <f aca="false">Portfolio!D8</f>
        <v>95</v>
      </c>
      <c r="E16" s="8" t="n">
        <f aca="false">IF(Portfolio!J8="Y",Portfolio!E8*(1+$B$5),Portfolio!E8)</f>
        <v>40</v>
      </c>
      <c r="F16" s="23" t="n">
        <f aca="false">Portfolio!F8+$B$6</f>
        <v>0.1</v>
      </c>
      <c r="G16" s="23" t="n">
        <f aca="false">MIN(1,Portfolio!G8+$B$7)</f>
        <v>0.6</v>
      </c>
      <c r="H16" s="8" t="n">
        <f aca="false">MAX(0,D16-E16*(1-F16))</f>
        <v>59</v>
      </c>
      <c r="I16" s="8" t="n">
        <f aca="false">H16*G16</f>
        <v>35.4</v>
      </c>
    </row>
    <row r="17" customFormat="false" ht="15" hidden="false" customHeight="false" outlineLevel="0" collapsed="false">
      <c r="A17" s="22" t="str">
        <f aca="false">Portfolio!A9</f>
        <v>Deriv-04</v>
      </c>
      <c r="B17" s="22" t="str">
        <f aca="false">Portfolio!B9</f>
        <v>OTC derivatives</v>
      </c>
      <c r="C17" s="22" t="str">
        <f aca="false">Portfolio!C9</f>
        <v>VWX Sovereign Fund - FX fwd</v>
      </c>
      <c r="D17" s="8" t="n">
        <f aca="false">Portfolio!D9</f>
        <v>80</v>
      </c>
      <c r="E17" s="8" t="n">
        <f aca="false">IF(Portfolio!J9="Y",Portfolio!E9*(1+$B$5),Portfolio!E9)</f>
        <v>45</v>
      </c>
      <c r="F17" s="23" t="n">
        <f aca="false">Portfolio!F9+$B$6</f>
        <v>0.1</v>
      </c>
      <c r="G17" s="23" t="n">
        <f aca="false">MIN(1,Portfolio!G9+$B$7)</f>
        <v>0.3</v>
      </c>
      <c r="H17" s="8" t="n">
        <f aca="false">MAX(0,D17-E17*(1-F17))</f>
        <v>39.5</v>
      </c>
      <c r="I17" s="8" t="n">
        <f aca="false">H17*G17</f>
        <v>11.85</v>
      </c>
    </row>
    <row r="18" customFormat="false" ht="15" hidden="false" customHeight="false" outlineLevel="0" collapsed="false">
      <c r="A18" s="22" t="str">
        <f aca="false">Portfolio!A10</f>
        <v>Loan-01</v>
      </c>
      <c r="B18" s="22" t="str">
        <f aca="false">Portfolio!B10</f>
        <v>Loans</v>
      </c>
      <c r="C18" s="22" t="str">
        <f aca="false">Portfolio!C10</f>
        <v>YZA Corp</v>
      </c>
      <c r="D18" s="8" t="n">
        <f aca="false">Portfolio!D10</f>
        <v>60</v>
      </c>
      <c r="E18" s="8" t="n">
        <f aca="false">IF(Portfolio!J10="Y",Portfolio!E10*(1+$B$5),Portfolio!E10)</f>
        <v>20</v>
      </c>
      <c r="F18" s="23" t="n">
        <f aca="false">Portfolio!F10+$B$6</f>
        <v>0.15</v>
      </c>
      <c r="G18" s="23" t="n">
        <f aca="false">MIN(1,Portfolio!G10+$B$7)</f>
        <v>1</v>
      </c>
      <c r="H18" s="8" t="n">
        <f aca="false">MAX(0,D18-E18*(1-F18))</f>
        <v>43</v>
      </c>
      <c r="I18" s="8" t="n">
        <f aca="false">H18*G18</f>
        <v>43</v>
      </c>
    </row>
    <row r="19" customFormat="false" ht="15" hidden="false" customHeight="false" outlineLevel="0" collapsed="false">
      <c r="A19" s="22" t="str">
        <f aca="false">Portfolio!A11</f>
        <v>Loan-02</v>
      </c>
      <c r="B19" s="22" t="str">
        <f aca="false">Portfolio!B11</f>
        <v>Loans</v>
      </c>
      <c r="C19" s="22" t="str">
        <f aca="false">Portfolio!C11</f>
        <v>BCD Corp</v>
      </c>
      <c r="D19" s="8" t="n">
        <f aca="false">Portfolio!D11</f>
        <v>45</v>
      </c>
      <c r="E19" s="8" t="n">
        <f aca="false">IF(Portfolio!J11="Y",Portfolio!E11*(1+$B$5),Portfolio!E11)</f>
        <v>15</v>
      </c>
      <c r="F19" s="23" t="n">
        <f aca="false">Portfolio!F11+$B$6</f>
        <v>0.15</v>
      </c>
      <c r="G19" s="23" t="n">
        <f aca="false">MIN(1,Portfolio!G11+$B$7)</f>
        <v>1</v>
      </c>
      <c r="H19" s="8" t="n">
        <f aca="false">MAX(0,D19-E19*(1-F19))</f>
        <v>32.25</v>
      </c>
      <c r="I19" s="8" t="n">
        <f aca="false">H19*G19</f>
        <v>32.25</v>
      </c>
    </row>
    <row r="20" customFormat="false" ht="15" hidden="false" customHeight="false" outlineLevel="0" collapsed="false">
      <c r="A20" s="22" t="str">
        <f aca="false">Portfolio!A12</f>
        <v>Loan-03</v>
      </c>
      <c r="B20" s="22" t="str">
        <f aca="false">Portfolio!B12</f>
        <v>Loans</v>
      </c>
      <c r="C20" s="22" t="str">
        <f aca="false">Portfolio!C12</f>
        <v>EFG Real Estate LLC</v>
      </c>
      <c r="D20" s="8" t="n">
        <f aca="false">Portfolio!D12</f>
        <v>35</v>
      </c>
      <c r="E20" s="8" t="n">
        <f aca="false">IF(Portfolio!J12="Y",Portfolio!E12*(1+$B$5),Portfolio!E12)</f>
        <v>10</v>
      </c>
      <c r="F20" s="23" t="n">
        <f aca="false">Portfolio!F12+$B$6</f>
        <v>0.15</v>
      </c>
      <c r="G20" s="23" t="n">
        <f aca="false">MIN(1,Portfolio!G12+$B$7)</f>
        <v>1</v>
      </c>
      <c r="H20" s="8" t="n">
        <f aca="false">MAX(0,D20-E20*(1-F20))</f>
        <v>26.5</v>
      </c>
      <c r="I20" s="8" t="n">
        <f aca="false">H20*G20</f>
        <v>26.5</v>
      </c>
    </row>
    <row r="21" customFormat="false" ht="15" hidden="false" customHeight="false" outlineLevel="0" collapsed="false">
      <c r="A21" s="22" t="str">
        <f aca="false">Portfolio!A13</f>
        <v>Sec-01</v>
      </c>
      <c r="B21" s="22" t="str">
        <f aca="false">Portfolio!B13</f>
        <v>Securitization</v>
      </c>
      <c r="C21" s="22" t="str">
        <f aca="false">Portfolio!C13</f>
        <v>HIJ ABS Tranche</v>
      </c>
      <c r="D21" s="8" t="n">
        <f aca="false">Portfolio!D13</f>
        <v>25</v>
      </c>
      <c r="E21" s="8" t="n">
        <f aca="false">IF(Portfolio!J13="Y",Portfolio!E13*(1+$B$5),Portfolio!E13)</f>
        <v>2.5</v>
      </c>
      <c r="F21" s="23" t="n">
        <f aca="false">Portfolio!F13+$B$6</f>
        <v>0.08</v>
      </c>
      <c r="G21" s="23" t="n">
        <f aca="false">MIN(1,Portfolio!G13+$B$7)</f>
        <v>0.85</v>
      </c>
      <c r="H21" s="8" t="n">
        <f aca="false">MAX(0,D21-E21*(1-F21))</f>
        <v>22.7</v>
      </c>
      <c r="I21" s="8" t="n">
        <f aca="false">H21*G21</f>
        <v>19.295</v>
      </c>
    </row>
    <row r="22" customFormat="false" ht="15" hidden="false" customHeight="false" outlineLevel="0" collapsed="false">
      <c r="A22" s="22" t="str">
        <f aca="false">Portfolio!A14</f>
        <v>Sec-02</v>
      </c>
      <c r="B22" s="22" t="str">
        <f aca="false">Portfolio!B14</f>
        <v>Securitization</v>
      </c>
      <c r="C22" s="22" t="str">
        <f aca="false">Portfolio!C14</f>
        <v>KLM ABS Tranche</v>
      </c>
      <c r="D22" s="8" t="n">
        <f aca="false">Portfolio!D14</f>
        <v>20</v>
      </c>
      <c r="E22" s="8" t="n">
        <f aca="false">IF(Portfolio!J14="Y",Portfolio!E14*(1+$B$5),Portfolio!E14)</f>
        <v>2</v>
      </c>
      <c r="F22" s="23" t="n">
        <f aca="false">Portfolio!F14+$B$6</f>
        <v>0.08</v>
      </c>
      <c r="G22" s="23" t="n">
        <f aca="false">MIN(1,Portfolio!G14+$B$7)</f>
        <v>0.85</v>
      </c>
      <c r="H22" s="8" t="n">
        <f aca="false">MAX(0,D22-E22*(1-F22))</f>
        <v>18.16</v>
      </c>
      <c r="I22" s="8" t="n">
        <f aca="false">H22*G22</f>
        <v>15.436</v>
      </c>
    </row>
    <row r="23" customFormat="false" ht="15" hidden="false" customHeight="false" outlineLevel="0" collapsed="false">
      <c r="A23" s="22" t="str">
        <f aca="false">Portfolio!A15</f>
        <v>Indem-01</v>
      </c>
      <c r="B23" s="22" t="str">
        <f aca="false">Portfolio!B15</f>
        <v>Indemnified securities financing</v>
      </c>
      <c r="C23" s="22" t="str">
        <f aca="false">Portfolio!C15</f>
        <v>NOP Agency Lending Client</v>
      </c>
      <c r="D23" s="8" t="n">
        <f aca="false">Portfolio!D15</f>
        <v>300</v>
      </c>
      <c r="E23" s="8" t="n">
        <f aca="false">IF(Portfolio!J15="Y",Portfolio!E15*(1+$B$5),Portfolio!E15)</f>
        <v>157.5</v>
      </c>
      <c r="F23" s="23" t="n">
        <f aca="false">Portfolio!F15+$B$6</f>
        <v>0.07</v>
      </c>
      <c r="G23" s="23" t="n">
        <f aca="false">MIN(1,Portfolio!G15+$B$7)</f>
        <v>0.3</v>
      </c>
      <c r="H23" s="8" t="n">
        <f aca="false">MAX(0,D23-E23*(1-F23))</f>
        <v>153.525</v>
      </c>
      <c r="I23" s="8" t="n">
        <f aca="false">H23*G23</f>
        <v>46.0575</v>
      </c>
    </row>
    <row r="24" customFormat="false" ht="15" hidden="false" customHeight="false" outlineLevel="0" collapsed="false">
      <c r="A24" s="22" t="str">
        <f aca="false">Portfolio!A16</f>
        <v>Indem-02</v>
      </c>
      <c r="B24" s="22" t="str">
        <f aca="false">Portfolio!B16</f>
        <v>Indemnified securities financing</v>
      </c>
      <c r="C24" s="22" t="str">
        <f aca="false">Portfolio!C16</f>
        <v>QRS Agency Lending Client</v>
      </c>
      <c r="D24" s="8" t="n">
        <f aca="false">Portfolio!D16</f>
        <v>220</v>
      </c>
      <c r="E24" s="8" t="n">
        <f aca="false">IF(Portfolio!J16="Y",Portfolio!E16*(1+$B$5),Portfolio!E16)</f>
        <v>115.5</v>
      </c>
      <c r="F24" s="23" t="n">
        <f aca="false">Portfolio!F16+$B$6</f>
        <v>0.07</v>
      </c>
      <c r="G24" s="23" t="n">
        <f aca="false">MIN(1,Portfolio!G16+$B$7)</f>
        <v>0.3</v>
      </c>
      <c r="H24" s="8" t="n">
        <f aca="false">MAX(0,D24-E24*(1-F24))</f>
        <v>112.585</v>
      </c>
      <c r="I24" s="8" t="n">
        <f aca="false">H24*G24</f>
        <v>33.7755</v>
      </c>
    </row>
    <row r="25" customFormat="false" ht="15" hidden="false" customHeight="false" outlineLevel="0" collapsed="false">
      <c r="A25" s="22" t="str">
        <f aca="false">Portfolio!A17</f>
        <v>Indem-03</v>
      </c>
      <c r="B25" s="22" t="str">
        <f aca="false">Portfolio!B17</f>
        <v>Indemnified securities financing</v>
      </c>
      <c r="C25" s="22" t="str">
        <f aca="false">Portfolio!C17</f>
        <v>TUV Hedge Fund (borrower)</v>
      </c>
      <c r="D25" s="8" t="n">
        <f aca="false">Portfolio!D17</f>
        <v>150</v>
      </c>
      <c r="E25" s="8" t="n">
        <f aca="false">IF(Portfolio!J17="Y",Portfolio!E17*(1+$B$5),Portfolio!E17)</f>
        <v>79</v>
      </c>
      <c r="F25" s="23" t="n">
        <f aca="false">Portfolio!F17+$B$6</f>
        <v>0.07</v>
      </c>
      <c r="G25" s="23" t="n">
        <f aca="false">MIN(1,Portfolio!G17+$B$7)</f>
        <v>0.3</v>
      </c>
      <c r="H25" s="8" t="n">
        <f aca="false">MAX(0,D25-E25*(1-F25))</f>
        <v>76.53</v>
      </c>
      <c r="I25" s="8" t="n">
        <f aca="false">H25*G25</f>
        <v>22.959</v>
      </c>
    </row>
    <row r="27" customFormat="false" ht="15" hidden="false" customHeight="false" outlineLevel="0" collapsed="false">
      <c r="A27" s="10"/>
      <c r="B27" s="10"/>
      <c r="C27" s="10" t="s">
        <v>123</v>
      </c>
      <c r="D27" s="10"/>
      <c r="E27" s="10"/>
      <c r="F27" s="10"/>
      <c r="G27" s="10"/>
      <c r="H27" s="10"/>
      <c r="I27" s="11" t="n">
        <f aca="false">SUM(I10:I25)</f>
        <v>382.649</v>
      </c>
    </row>
    <row r="30" customFormat="false" ht="15" hidden="false" customHeight="false" outlineLevel="0" collapsed="false">
      <c r="A30" s="1" t="s">
        <v>124</v>
      </c>
    </row>
    <row r="31" customFormat="false" ht="15" hidden="false" customHeight="false" outlineLevel="0" collapsed="false">
      <c r="A31" s="0" t="s">
        <v>125</v>
      </c>
      <c r="B31" s="16" t="n">
        <f aca="false">Capital_Summary!B4</f>
        <v>24.5</v>
      </c>
      <c r="C31" s="17" t="s">
        <v>126</v>
      </c>
    </row>
    <row r="32" customFormat="false" ht="15" hidden="false" customHeight="false" outlineLevel="0" collapsed="false">
      <c r="A32" s="0" t="s">
        <v>127</v>
      </c>
      <c r="B32" s="18" t="n">
        <v>1.5</v>
      </c>
      <c r="C32" s="17" t="s">
        <v>128</v>
      </c>
    </row>
    <row r="33" customFormat="false" ht="15" hidden="false" customHeight="false" outlineLevel="0" collapsed="false">
      <c r="A33" s="0" t="s">
        <v>129</v>
      </c>
      <c r="B33" s="18" t="n">
        <v>-3</v>
      </c>
      <c r="C33" s="17" t="s">
        <v>130</v>
      </c>
    </row>
    <row r="34" customFormat="false" ht="15" hidden="false" customHeight="false" outlineLevel="0" collapsed="false">
      <c r="A34" s="0" t="s">
        <v>131</v>
      </c>
      <c r="B34" s="18" t="n">
        <v>-1</v>
      </c>
      <c r="C34" s="17" t="s">
        <v>132</v>
      </c>
    </row>
    <row r="35" customFormat="false" ht="15" hidden="false" customHeight="false" outlineLevel="0" collapsed="false">
      <c r="A35" s="1" t="s">
        <v>133</v>
      </c>
      <c r="B35" s="24" t="n">
        <f aca="false">B31+B32+B33+B34</f>
        <v>22</v>
      </c>
    </row>
    <row r="37" customFormat="false" ht="15" hidden="false" customHeight="false" outlineLevel="0" collapsed="false">
      <c r="A37" s="1" t="s">
        <v>134</v>
      </c>
      <c r="B37" s="25" t="n">
        <f aca="false">B35/I27</f>
        <v>0.0574939435357207</v>
      </c>
    </row>
    <row r="38" customFormat="false" ht="15" hidden="false" customHeight="false" outlineLevel="0" collapsed="false">
      <c r="A38" s="12" t="s">
        <v>135</v>
      </c>
      <c r="B38" s="14" t="n">
        <f aca="false">Capital_Summary!B5</f>
        <v>0.10809499123107</v>
      </c>
    </row>
    <row r="39" customFormat="false" ht="15" hidden="false" customHeight="false" outlineLevel="0" collapsed="false">
      <c r="A39" s="12" t="s">
        <v>136</v>
      </c>
      <c r="B39" s="20" t="n">
        <v>0.045</v>
      </c>
    </row>
    <row r="41" customFormat="false" ht="15" hidden="false" customHeight="false" outlineLevel="0" collapsed="false">
      <c r="B41" s="1" t="s">
        <v>137</v>
      </c>
    </row>
    <row r="42" customFormat="false" ht="15" hidden="false" customHeight="false" outlineLevel="0" collapsed="false">
      <c r="B42" s="12" t="s">
        <v>83</v>
      </c>
      <c r="I42" s="13" t="n">
        <f aca="false">SUMIF(B10:B25,B42,I10:I25)</f>
        <v>102.792</v>
      </c>
    </row>
    <row r="43" customFormat="false" ht="15" hidden="false" customHeight="false" outlineLevel="0" collapsed="false">
      <c r="B43" s="12" t="s">
        <v>70</v>
      </c>
      <c r="I43" s="13" t="n">
        <f aca="false">SUMIF(B10:B25,B43,I10:I25)</f>
        <v>101.75</v>
      </c>
    </row>
    <row r="44" customFormat="false" ht="15" hidden="false" customHeight="false" outlineLevel="0" collapsed="false">
      <c r="B44" s="12" t="s">
        <v>61</v>
      </c>
      <c r="I44" s="13" t="n">
        <f aca="false">SUMIF(B10:B25,B44,I10:I25)</f>
        <v>128.85</v>
      </c>
    </row>
    <row r="45" customFormat="false" ht="15" hidden="false" customHeight="false" outlineLevel="0" collapsed="false">
      <c r="B45" s="12" t="s">
        <v>51</v>
      </c>
      <c r="I45" s="13" t="n">
        <f aca="false">SUMIF(B10:B25,B45,I10:I25)</f>
        <v>14.526</v>
      </c>
    </row>
    <row r="46" customFormat="false" ht="15" hidden="false" customHeight="false" outlineLevel="0" collapsed="false">
      <c r="B46" s="12" t="s">
        <v>77</v>
      </c>
      <c r="I46" s="13" t="n">
        <f aca="false">SUMIF(B10:B25,B46,I10:I25)</f>
        <v>34.731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45"/>
  </cols>
  <sheetData>
    <row r="1" customFormat="false" ht="16.15" hidden="false" customHeight="false" outlineLevel="0" collapsed="false">
      <c r="A1" s="15" t="s">
        <v>138</v>
      </c>
    </row>
    <row r="2" customFormat="false" ht="120" hidden="false" customHeight="true" outlineLevel="0" collapsed="false">
      <c r="A2" s="21" t="s">
        <v>139</v>
      </c>
      <c r="B2" s="21"/>
      <c r="C2" s="21"/>
      <c r="D2" s="21"/>
      <c r="E2" s="21"/>
    </row>
    <row r="4" customFormat="false" ht="15" hidden="false" customHeight="false" outlineLevel="0" collapsed="false">
      <c r="A4" s="1" t="s">
        <v>140</v>
      </c>
    </row>
    <row r="5" customFormat="false" ht="15" hidden="false" customHeight="false" outlineLevel="0" collapsed="false">
      <c r="A5" s="12" t="s">
        <v>141</v>
      </c>
      <c r="B5" s="18" t="n">
        <v>5</v>
      </c>
      <c r="E5" s="17" t="s">
        <v>142</v>
      </c>
    </row>
    <row r="6" customFormat="false" ht="15" hidden="false" customHeight="false" outlineLevel="0" collapsed="false">
      <c r="A6" s="12" t="s">
        <v>143</v>
      </c>
      <c r="B6" s="18" t="n">
        <v>20</v>
      </c>
      <c r="E6" s="17" t="s">
        <v>144</v>
      </c>
    </row>
    <row r="7" customFormat="false" ht="15" hidden="false" customHeight="false" outlineLevel="0" collapsed="false">
      <c r="A7" s="12" t="s">
        <v>145</v>
      </c>
      <c r="B7" s="18" t="n">
        <v>12</v>
      </c>
      <c r="E7" s="17" t="s">
        <v>146</v>
      </c>
    </row>
    <row r="8" customFormat="false" ht="15" hidden="false" customHeight="false" outlineLevel="0" collapsed="false">
      <c r="A8" s="12" t="s">
        <v>147</v>
      </c>
      <c r="B8" s="18" t="n">
        <v>2</v>
      </c>
      <c r="E8" s="17" t="s">
        <v>148</v>
      </c>
    </row>
    <row r="10" customFormat="false" ht="15" hidden="false" customHeight="false" outlineLevel="0" collapsed="false">
      <c r="A10" s="1" t="s">
        <v>149</v>
      </c>
    </row>
    <row r="11" customFormat="false" ht="15" hidden="false" customHeight="false" outlineLevel="0" collapsed="false">
      <c r="A11" s="26"/>
      <c r="B11" s="26" t="s">
        <v>150</v>
      </c>
      <c r="C11" s="26" t="s">
        <v>151</v>
      </c>
      <c r="D11" s="26"/>
      <c r="E11" s="26" t="s">
        <v>152</v>
      </c>
    </row>
    <row r="12" customFormat="false" ht="15" hidden="false" customHeight="false" outlineLevel="0" collapsed="false">
      <c r="A12" s="0" t="s">
        <v>153</v>
      </c>
      <c r="B12" s="13" t="n">
        <f aca="false">B6+B7</f>
        <v>32</v>
      </c>
      <c r="C12" s="13" t="n">
        <f aca="false">B6-B7</f>
        <v>8</v>
      </c>
      <c r="E12" s="17" t="s">
        <v>154</v>
      </c>
    </row>
    <row r="13" customFormat="false" ht="15" hidden="false" customHeight="false" outlineLevel="0" collapsed="false">
      <c r="A13" s="0" t="s">
        <v>155</v>
      </c>
      <c r="B13" s="13" t="n">
        <f aca="false">B5</f>
        <v>5</v>
      </c>
      <c r="C13" s="13" t="n">
        <f aca="false">B5</f>
        <v>5</v>
      </c>
    </row>
    <row r="14" customFormat="false" ht="15" hidden="false" customHeight="false" outlineLevel="0" collapsed="false">
      <c r="A14" s="0" t="s">
        <v>156</v>
      </c>
      <c r="B14" s="13" t="n">
        <f aca="false">B8</f>
        <v>2</v>
      </c>
      <c r="C14" s="13" t="n">
        <f aca="false">B8</f>
        <v>2</v>
      </c>
    </row>
    <row r="15" customFormat="false" ht="15" hidden="false" customHeight="false" outlineLevel="0" collapsed="false">
      <c r="A15" s="1" t="s">
        <v>157</v>
      </c>
      <c r="B15" s="24" t="n">
        <f aca="false">B12+B13+B14</f>
        <v>39</v>
      </c>
      <c r="C15" s="24" t="n">
        <f aca="false">C12+C13+C14</f>
        <v>15</v>
      </c>
    </row>
    <row r="17" customFormat="false" ht="15" hidden="false" customHeight="false" outlineLevel="0" collapsed="false">
      <c r="A17" s="12" t="s">
        <v>158</v>
      </c>
      <c r="B17" s="20" t="n">
        <v>0.12</v>
      </c>
      <c r="E17" s="17" t="s">
        <v>159</v>
      </c>
    </row>
    <row r="18" customFormat="false" ht="15" hidden="false" customHeight="false" outlineLevel="0" collapsed="false">
      <c r="A18" s="12" t="s">
        <v>160</v>
      </c>
      <c r="B18" s="27" t="n">
        <v>1</v>
      </c>
      <c r="E18" s="17" t="s">
        <v>161</v>
      </c>
    </row>
    <row r="20" customFormat="false" ht="15" hidden="false" customHeight="false" outlineLevel="0" collapsed="false">
      <c r="A20" s="1" t="s">
        <v>162</v>
      </c>
    </row>
    <row r="21" customFormat="false" ht="15" hidden="false" customHeight="false" outlineLevel="0" collapsed="false">
      <c r="A21" s="0" t="s">
        <v>163</v>
      </c>
      <c r="B21" s="13" t="n">
        <f aca="false">12.5*B15*B17*B18</f>
        <v>58.5</v>
      </c>
    </row>
    <row r="22" customFormat="false" ht="15" hidden="false" customHeight="false" outlineLevel="0" collapsed="false">
      <c r="A22" s="0" t="s">
        <v>164</v>
      </c>
      <c r="B22" s="13" t="n">
        <f aca="false">12.5*C15*B17*B18</f>
        <v>22.5</v>
      </c>
    </row>
    <row r="24" customFormat="false" ht="15" hidden="false" customHeight="false" outlineLevel="0" collapsed="false">
      <c r="A24" s="12" t="s">
        <v>165</v>
      </c>
      <c r="B24" s="20" t="n">
        <v>0.2</v>
      </c>
      <c r="E24" s="17" t="s">
        <v>166</v>
      </c>
    </row>
    <row r="25" customFormat="false" ht="15" hidden="false" customHeight="false" outlineLevel="0" collapsed="false">
      <c r="A25" s="0" t="s">
        <v>167</v>
      </c>
      <c r="B25" s="13" t="n">
        <f aca="false">Portfolio!I25*B24</f>
        <v>19.99</v>
      </c>
    </row>
    <row r="26" customFormat="false" ht="15" hidden="false" customHeight="false" outlineLevel="0" collapsed="false">
      <c r="A26" s="0" t="s">
        <v>168</v>
      </c>
      <c r="B26" s="13" t="n">
        <f aca="false">Stress_Scenario!I44*B24</f>
        <v>25.77</v>
      </c>
    </row>
    <row r="28" customFormat="false" ht="15" hidden="false" customHeight="false" outlineLevel="0" collapsed="false">
      <c r="A28" s="1" t="s">
        <v>169</v>
      </c>
    </row>
    <row r="29" customFormat="false" ht="15" hidden="false" customHeight="false" outlineLevel="0" collapsed="false">
      <c r="A29" s="28" t="s">
        <v>170</v>
      </c>
      <c r="B29" s="28" t="s">
        <v>171</v>
      </c>
      <c r="C29" s="28" t="s">
        <v>122</v>
      </c>
    </row>
    <row r="30" customFormat="false" ht="15" hidden="false" customHeight="false" outlineLevel="0" collapsed="false">
      <c r="A30" s="29" t="s">
        <v>172</v>
      </c>
      <c r="B30" s="30" t="n">
        <f aca="false">Portfolio!I19</f>
        <v>226.6525</v>
      </c>
      <c r="C30" s="30" t="n">
        <f aca="false">Stress_Scenario!I27</f>
        <v>382.649</v>
      </c>
    </row>
    <row r="31" customFormat="false" ht="15" hidden="false" customHeight="false" outlineLevel="0" collapsed="false">
      <c r="A31" s="29" t="s">
        <v>173</v>
      </c>
      <c r="B31" s="30" t="n">
        <f aca="false">Portfolio!I19+B25+B21</f>
        <v>305.1425</v>
      </c>
      <c r="C31" s="30" t="n">
        <f aca="false">Stress_Scenario!I27+B26+B21</f>
        <v>466.919</v>
      </c>
    </row>
    <row r="32" customFormat="false" ht="15" hidden="false" customHeight="false" outlineLevel="0" collapsed="false">
      <c r="A32" s="29" t="s">
        <v>174</v>
      </c>
      <c r="B32" s="30" t="n">
        <f aca="false">Portfolio!I19+B25+B22</f>
        <v>269.1425</v>
      </c>
      <c r="C32" s="30" t="n">
        <f aca="false">Stress_Scenario!I27+B26+B22</f>
        <v>430.919</v>
      </c>
    </row>
    <row r="34" customFormat="false" ht="15" hidden="false" customHeight="false" outlineLevel="0" collapsed="false">
      <c r="A34" s="31" t="s">
        <v>175</v>
      </c>
    </row>
    <row r="35" customFormat="false" ht="15" hidden="false" customHeight="false" outlineLevel="0" collapsed="false">
      <c r="A35" s="28" t="s">
        <v>176</v>
      </c>
      <c r="B35" s="28" t="s">
        <v>93</v>
      </c>
      <c r="C35" s="28" t="s">
        <v>177</v>
      </c>
      <c r="D35" s="28" t="s">
        <v>97</v>
      </c>
    </row>
    <row r="36" customFormat="false" ht="15" hidden="false" customHeight="false" outlineLevel="0" collapsed="false">
      <c r="A36" s="22" t="s">
        <v>178</v>
      </c>
      <c r="B36" s="30" t="n">
        <f aca="false">B30</f>
        <v>226.6525</v>
      </c>
      <c r="C36" s="30" t="n">
        <f aca="false">Capital_Summary!B4</f>
        <v>24.5</v>
      </c>
      <c r="D36" s="32" t="n">
        <f aca="false">C36/B36</f>
        <v>0.10809499123107</v>
      </c>
    </row>
    <row r="37" customFormat="false" ht="15" hidden="false" customHeight="false" outlineLevel="0" collapsed="false">
      <c r="A37" s="22" t="s">
        <v>179</v>
      </c>
      <c r="B37" s="30" t="n">
        <f aca="false">C30</f>
        <v>382.649</v>
      </c>
      <c r="C37" s="30" t="n">
        <f aca="false">Stress_Scenario!B35</f>
        <v>22</v>
      </c>
      <c r="D37" s="32" t="n">
        <f aca="false">C37/B37</f>
        <v>0.0574939435357207</v>
      </c>
    </row>
    <row r="38" customFormat="false" ht="15" hidden="false" customHeight="false" outlineLevel="0" collapsed="false">
      <c r="A38" s="22" t="s">
        <v>180</v>
      </c>
      <c r="B38" s="30" t="n">
        <f aca="false">B31</f>
        <v>305.1425</v>
      </c>
      <c r="C38" s="30" t="n">
        <f aca="false">Capital_Summary!B4</f>
        <v>24.5</v>
      </c>
      <c r="D38" s="32" t="n">
        <f aca="false">C38/B38</f>
        <v>0.0802903561450798</v>
      </c>
    </row>
    <row r="39" customFormat="false" ht="15" hidden="false" customHeight="false" outlineLevel="0" collapsed="false">
      <c r="A39" s="22" t="s">
        <v>181</v>
      </c>
      <c r="B39" s="30" t="n">
        <f aca="false">C31</f>
        <v>466.919</v>
      </c>
      <c r="C39" s="30" t="n">
        <f aca="false">Stress_Scenario!B35</f>
        <v>22</v>
      </c>
      <c r="D39" s="32" t="n">
        <f aca="false">C39/B39</f>
        <v>0.0471173801023304</v>
      </c>
    </row>
    <row r="40" customFormat="false" ht="15" hidden="false" customHeight="false" outlineLevel="0" collapsed="false">
      <c r="A40" s="22" t="s">
        <v>182</v>
      </c>
      <c r="B40" s="30" t="n">
        <f aca="false">B32</f>
        <v>269.1425</v>
      </c>
      <c r="C40" s="30" t="n">
        <f aca="false">Capital_Summary!B4</f>
        <v>24.5</v>
      </c>
      <c r="D40" s="32" t="n">
        <f aca="false">C40/B40</f>
        <v>0.0910298447848259</v>
      </c>
    </row>
    <row r="41" customFormat="false" ht="15" hidden="false" customHeight="false" outlineLevel="0" collapsed="false">
      <c r="A41" s="22" t="s">
        <v>183</v>
      </c>
      <c r="B41" s="30" t="n">
        <f aca="false">C32</f>
        <v>430.919</v>
      </c>
      <c r="C41" s="30" t="n">
        <f aca="false">Stress_Scenario!B35</f>
        <v>22</v>
      </c>
      <c r="D41" s="32" t="n">
        <f aca="false">C41/B41</f>
        <v>0.0510536783014905</v>
      </c>
    </row>
    <row r="43" customFormat="false" ht="15" hidden="false" customHeight="false" outlineLevel="0" collapsed="false">
      <c r="A43" s="17" t="s">
        <v>184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2026-09-09T22:36:55Z</dcterms:created>
  <dc:creator>openpyxl</dc:creator>
  <dc:description/>
  <dc:language>en-US</dc:language>
  <cp:lastModifiedBy/>
  <dcterms:modified xsi:type="dcterms:W3CDTF">2026-09-09T22:36:55Z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