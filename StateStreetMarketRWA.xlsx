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smine.kela/Desktop/projects/RWA State Street Project/"/>
    </mc:Choice>
  </mc:AlternateContent>
  <xr:revisionPtr revIDLastSave="0" documentId="13_ncr:1_{964DDD42-C95A-C547-A69A-F402BE6A4241}" xr6:coauthVersionLast="47" xr6:coauthVersionMax="47" xr10:uidLastSave="{00000000-0000-0000-0000-000000000000}"/>
  <bookViews>
    <workbookView xWindow="0" yWindow="760" windowWidth="25900" windowHeight="18360" tabRatio="500" activeTab="6" xr2:uid="{00000000-000D-0000-FFFF-FFFF00000000}"/>
  </bookViews>
  <sheets>
    <sheet name="README" sheetId="1" r:id="rId1"/>
    <sheet name="Portfolio" sheetId="2" r:id="rId2"/>
    <sheet name="Capital_Summary" sheetId="3" r:id="rId3"/>
    <sheet name="Stress_Scenario" sheetId="4" r:id="rId4"/>
    <sheet name="Basel_III_Endgame" sheetId="5" r:id="rId5"/>
    <sheet name="DATA" sheetId="6" r:id="rId6"/>
    <sheet name="RWA Summary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7" l="1"/>
  <c r="E29" i="7" s="1"/>
  <c r="B29" i="7"/>
  <c r="C29" i="7" s="1"/>
  <c r="D28" i="7"/>
  <c r="E28" i="7" s="1"/>
  <c r="B28" i="7"/>
  <c r="C28" i="7" s="1"/>
  <c r="E27" i="7"/>
  <c r="D27" i="7"/>
  <c r="B27" i="7"/>
  <c r="C27" i="7" s="1"/>
  <c r="C20" i="7"/>
  <c r="B20" i="7"/>
  <c r="C18" i="7"/>
  <c r="B18" i="7"/>
  <c r="C17" i="7"/>
  <c r="B17" i="7"/>
  <c r="C10" i="7"/>
  <c r="D10" i="7" s="1"/>
  <c r="B10" i="7"/>
  <c r="C9" i="7"/>
  <c r="B9" i="7"/>
  <c r="C8" i="7"/>
  <c r="D8" i="7" s="1"/>
  <c r="B8" i="7"/>
  <c r="C7" i="7"/>
  <c r="B7" i="7"/>
  <c r="D7" i="7" s="1"/>
  <c r="C6" i="7"/>
  <c r="B6" i="7"/>
  <c r="B11" i="7" s="1"/>
  <c r="E19" i="6"/>
  <c r="J33" i="6"/>
  <c r="I33" i="6"/>
  <c r="H33" i="6"/>
  <c r="G33" i="6"/>
  <c r="F33" i="6"/>
  <c r="E33" i="6"/>
  <c r="C33" i="6"/>
  <c r="B33" i="6"/>
  <c r="A33" i="6"/>
  <c r="K33" i="6" s="1"/>
  <c r="J32" i="6"/>
  <c r="I32" i="6"/>
  <c r="H32" i="6"/>
  <c r="G32" i="6"/>
  <c r="F32" i="6"/>
  <c r="E32" i="6"/>
  <c r="C32" i="6"/>
  <c r="B32" i="6"/>
  <c r="A32" i="6"/>
  <c r="K32" i="6" s="1"/>
  <c r="J31" i="6"/>
  <c r="I31" i="6"/>
  <c r="H31" i="6"/>
  <c r="G31" i="6"/>
  <c r="F31" i="6"/>
  <c r="E31" i="6"/>
  <c r="C31" i="6"/>
  <c r="B31" i="6"/>
  <c r="A31" i="6"/>
  <c r="K31" i="6" s="1"/>
  <c r="J30" i="6"/>
  <c r="I30" i="6"/>
  <c r="H30" i="6"/>
  <c r="G30" i="6"/>
  <c r="F30" i="6"/>
  <c r="E30" i="6"/>
  <c r="C30" i="6"/>
  <c r="B30" i="6"/>
  <c r="A30" i="6"/>
  <c r="K30" i="6" s="1"/>
  <c r="J29" i="6"/>
  <c r="I29" i="6"/>
  <c r="H29" i="6"/>
  <c r="G29" i="6"/>
  <c r="F29" i="6"/>
  <c r="E29" i="6"/>
  <c r="C29" i="6"/>
  <c r="B29" i="6"/>
  <c r="A29" i="6"/>
  <c r="K29" i="6" s="1"/>
  <c r="J28" i="6"/>
  <c r="I28" i="6"/>
  <c r="H28" i="6"/>
  <c r="G28" i="6"/>
  <c r="F28" i="6"/>
  <c r="E28" i="6"/>
  <c r="C28" i="6"/>
  <c r="B28" i="6"/>
  <c r="A28" i="6"/>
  <c r="K28" i="6" s="1"/>
  <c r="J27" i="6"/>
  <c r="I27" i="6"/>
  <c r="H27" i="6"/>
  <c r="G27" i="6"/>
  <c r="F27" i="6"/>
  <c r="E27" i="6"/>
  <c r="C27" i="6"/>
  <c r="B27" i="6"/>
  <c r="A27" i="6"/>
  <c r="K27" i="6" s="1"/>
  <c r="J26" i="6"/>
  <c r="I26" i="6"/>
  <c r="H26" i="6"/>
  <c r="G26" i="6"/>
  <c r="F26" i="6"/>
  <c r="E26" i="6"/>
  <c r="C26" i="6"/>
  <c r="B26" i="6"/>
  <c r="A26" i="6"/>
  <c r="K26" i="6" s="1"/>
  <c r="J25" i="6"/>
  <c r="I25" i="6"/>
  <c r="H25" i="6"/>
  <c r="G25" i="6"/>
  <c r="F25" i="6"/>
  <c r="E25" i="6"/>
  <c r="C25" i="6"/>
  <c r="B25" i="6"/>
  <c r="A25" i="6"/>
  <c r="K25" i="6" s="1"/>
  <c r="J24" i="6"/>
  <c r="I24" i="6"/>
  <c r="H24" i="6"/>
  <c r="G24" i="6"/>
  <c r="F24" i="6"/>
  <c r="E24" i="6"/>
  <c r="C24" i="6"/>
  <c r="B24" i="6"/>
  <c r="A24" i="6"/>
  <c r="K24" i="6" s="1"/>
  <c r="J23" i="6"/>
  <c r="I23" i="6"/>
  <c r="H23" i="6"/>
  <c r="G23" i="6"/>
  <c r="F23" i="6"/>
  <c r="E23" i="6"/>
  <c r="C23" i="6"/>
  <c r="B23" i="6"/>
  <c r="A23" i="6"/>
  <c r="K23" i="6" s="1"/>
  <c r="J22" i="6"/>
  <c r="I22" i="6"/>
  <c r="H22" i="6"/>
  <c r="G22" i="6"/>
  <c r="F22" i="6"/>
  <c r="E22" i="6"/>
  <c r="C22" i="6"/>
  <c r="B22" i="6"/>
  <c r="A22" i="6"/>
  <c r="K22" i="6" s="1"/>
  <c r="J21" i="6"/>
  <c r="I21" i="6"/>
  <c r="H21" i="6"/>
  <c r="G21" i="6"/>
  <c r="F21" i="6"/>
  <c r="E21" i="6"/>
  <c r="C21" i="6"/>
  <c r="B21" i="6"/>
  <c r="A21" i="6"/>
  <c r="K21" i="6" s="1"/>
  <c r="J20" i="6"/>
  <c r="I20" i="6"/>
  <c r="H20" i="6"/>
  <c r="G20" i="6"/>
  <c r="F20" i="6"/>
  <c r="E20" i="6"/>
  <c r="C20" i="6"/>
  <c r="B20" i="6"/>
  <c r="A20" i="6"/>
  <c r="K20" i="6" s="1"/>
  <c r="J19" i="6"/>
  <c r="I19" i="6"/>
  <c r="H19" i="6"/>
  <c r="G19" i="6"/>
  <c r="F19" i="6"/>
  <c r="C19" i="6"/>
  <c r="B19" i="6"/>
  <c r="A19" i="6"/>
  <c r="K19" i="6" s="1"/>
  <c r="J18" i="6"/>
  <c r="I18" i="6"/>
  <c r="H18" i="6"/>
  <c r="G18" i="6"/>
  <c r="F18" i="6"/>
  <c r="E18" i="6"/>
  <c r="C18" i="6"/>
  <c r="B18" i="6"/>
  <c r="A18" i="6"/>
  <c r="K18" i="6" s="1"/>
  <c r="K17" i="6"/>
  <c r="J17" i="6"/>
  <c r="I17" i="6"/>
  <c r="H17" i="6"/>
  <c r="G17" i="6"/>
  <c r="F17" i="6"/>
  <c r="E17" i="6"/>
  <c r="C17" i="6"/>
  <c r="B17" i="6"/>
  <c r="A17" i="6"/>
  <c r="K16" i="6"/>
  <c r="J16" i="6"/>
  <c r="I16" i="6"/>
  <c r="H16" i="6"/>
  <c r="G16" i="6"/>
  <c r="F16" i="6"/>
  <c r="E16" i="6"/>
  <c r="C16" i="6"/>
  <c r="B16" i="6"/>
  <c r="A16" i="6"/>
  <c r="K15" i="6"/>
  <c r="J15" i="6"/>
  <c r="I15" i="6"/>
  <c r="H15" i="6"/>
  <c r="G15" i="6"/>
  <c r="F15" i="6"/>
  <c r="E15" i="6"/>
  <c r="C15" i="6"/>
  <c r="B15" i="6"/>
  <c r="A15" i="6"/>
  <c r="K14" i="6"/>
  <c r="J14" i="6"/>
  <c r="I14" i="6"/>
  <c r="H14" i="6"/>
  <c r="G14" i="6"/>
  <c r="F14" i="6"/>
  <c r="E14" i="6"/>
  <c r="C14" i="6"/>
  <c r="B14" i="6"/>
  <c r="A14" i="6"/>
  <c r="K13" i="6"/>
  <c r="J13" i="6"/>
  <c r="I13" i="6"/>
  <c r="H13" i="6"/>
  <c r="G13" i="6"/>
  <c r="F13" i="6"/>
  <c r="E13" i="6"/>
  <c r="C13" i="6"/>
  <c r="B13" i="6"/>
  <c r="A13" i="6"/>
  <c r="K12" i="6"/>
  <c r="J12" i="6"/>
  <c r="I12" i="6"/>
  <c r="H12" i="6"/>
  <c r="G12" i="6"/>
  <c r="F12" i="6"/>
  <c r="E12" i="6"/>
  <c r="C12" i="6"/>
  <c r="B12" i="6"/>
  <c r="A12" i="6"/>
  <c r="K11" i="6"/>
  <c r="J11" i="6"/>
  <c r="I11" i="6"/>
  <c r="H11" i="6"/>
  <c r="G11" i="6"/>
  <c r="F11" i="6"/>
  <c r="E11" i="6"/>
  <c r="C11" i="6"/>
  <c r="B11" i="6"/>
  <c r="A11" i="6"/>
  <c r="K10" i="6"/>
  <c r="J10" i="6"/>
  <c r="I10" i="6"/>
  <c r="H10" i="6"/>
  <c r="G10" i="6"/>
  <c r="F10" i="6"/>
  <c r="E10" i="6"/>
  <c r="C10" i="6"/>
  <c r="B10" i="6"/>
  <c r="A10" i="6"/>
  <c r="K9" i="6"/>
  <c r="J9" i="6"/>
  <c r="I9" i="6"/>
  <c r="H9" i="6"/>
  <c r="G9" i="6"/>
  <c r="F9" i="6"/>
  <c r="E9" i="6"/>
  <c r="C9" i="6"/>
  <c r="B9" i="6"/>
  <c r="A9" i="6"/>
  <c r="K8" i="6"/>
  <c r="J8" i="6"/>
  <c r="I8" i="6"/>
  <c r="H8" i="6"/>
  <c r="G8" i="6"/>
  <c r="F8" i="6"/>
  <c r="E8" i="6"/>
  <c r="C8" i="6"/>
  <c r="B8" i="6"/>
  <c r="A8" i="6"/>
  <c r="K7" i="6"/>
  <c r="J7" i="6"/>
  <c r="I7" i="6"/>
  <c r="H7" i="6"/>
  <c r="G7" i="6"/>
  <c r="F7" i="6"/>
  <c r="E7" i="6"/>
  <c r="C7" i="6"/>
  <c r="B7" i="6"/>
  <c r="A7" i="6"/>
  <c r="K6" i="6"/>
  <c r="J6" i="6"/>
  <c r="I6" i="6"/>
  <c r="H6" i="6"/>
  <c r="G6" i="6"/>
  <c r="F6" i="6"/>
  <c r="E6" i="6"/>
  <c r="C6" i="6"/>
  <c r="B6" i="6"/>
  <c r="A6" i="6"/>
  <c r="K5" i="6"/>
  <c r="J5" i="6"/>
  <c r="I5" i="6"/>
  <c r="H5" i="6"/>
  <c r="G5" i="6"/>
  <c r="F5" i="6"/>
  <c r="E5" i="6"/>
  <c r="C5" i="6"/>
  <c r="B5" i="6"/>
  <c r="A5" i="6"/>
  <c r="K4" i="6"/>
  <c r="J4" i="6"/>
  <c r="I4" i="6"/>
  <c r="H4" i="6"/>
  <c r="G4" i="6"/>
  <c r="F4" i="6"/>
  <c r="E4" i="6"/>
  <c r="C4" i="6"/>
  <c r="B4" i="6"/>
  <c r="A4" i="6"/>
  <c r="K3" i="6"/>
  <c r="J3" i="6"/>
  <c r="I3" i="6"/>
  <c r="H3" i="6"/>
  <c r="G3" i="6"/>
  <c r="F3" i="6"/>
  <c r="E3" i="6"/>
  <c r="C3" i="6"/>
  <c r="B3" i="6"/>
  <c r="A3" i="6"/>
  <c r="K2" i="6"/>
  <c r="J2" i="6"/>
  <c r="I2" i="6"/>
  <c r="H2" i="6"/>
  <c r="G2" i="6"/>
  <c r="F2" i="6"/>
  <c r="E2" i="6"/>
  <c r="C2" i="6"/>
  <c r="B2" i="6"/>
  <c r="A2" i="6"/>
  <c r="D6" i="7" l="1"/>
  <c r="D11" i="7" s="1"/>
  <c r="D9" i="7"/>
  <c r="C11" i="7"/>
  <c r="E8" i="7" s="1"/>
  <c r="C40" i="5"/>
  <c r="C38" i="5"/>
  <c r="C36" i="5"/>
  <c r="C14" i="5"/>
  <c r="B14" i="5"/>
  <c r="C13" i="5"/>
  <c r="C15" i="5" s="1"/>
  <c r="B22" i="5" s="1"/>
  <c r="B13" i="5"/>
  <c r="C12" i="5"/>
  <c r="B12" i="5"/>
  <c r="B15" i="5" s="1"/>
  <c r="B21" i="5" s="1"/>
  <c r="B36" i="4"/>
  <c r="C41" i="5" s="1"/>
  <c r="B32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H11" i="4" s="1"/>
  <c r="C11" i="4"/>
  <c r="B11" i="4"/>
  <c r="A11" i="4"/>
  <c r="G10" i="4"/>
  <c r="F10" i="4"/>
  <c r="E10" i="4"/>
  <c r="D10" i="4"/>
  <c r="C10" i="4"/>
  <c r="B10" i="4"/>
  <c r="A10" i="4"/>
  <c r="E20" i="2"/>
  <c r="D20" i="2"/>
  <c r="H17" i="2"/>
  <c r="I17" i="2" s="1"/>
  <c r="H16" i="2"/>
  <c r="I16" i="2" s="1"/>
  <c r="H15" i="2"/>
  <c r="I15" i="2" s="1"/>
  <c r="I24" i="2" s="1"/>
  <c r="H14" i="2"/>
  <c r="I14" i="2" s="1"/>
  <c r="H13" i="2"/>
  <c r="I13" i="2" s="1"/>
  <c r="I28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J44" i="4"/>
  <c r="J45" i="4"/>
  <c r="J46" i="4"/>
  <c r="J47" i="4"/>
  <c r="J43" i="4"/>
  <c r="F27" i="4"/>
  <c r="E27" i="4"/>
  <c r="I27" i="4"/>
  <c r="G27" i="4"/>
  <c r="H27" i="4"/>
  <c r="J29" i="2"/>
  <c r="I29" i="2"/>
  <c r="I18" i="2"/>
  <c r="H18" i="2"/>
  <c r="E7" i="7" l="1"/>
  <c r="B16" i="7"/>
  <c r="B19" i="7" s="1"/>
  <c r="B21" i="7" s="1"/>
  <c r="E11" i="7"/>
  <c r="C16" i="7"/>
  <c r="C19" i="7" s="1"/>
  <c r="C21" i="7" s="1"/>
  <c r="E10" i="7"/>
  <c r="E6" i="7"/>
  <c r="E9" i="7"/>
  <c r="H18" i="4"/>
  <c r="I18" i="4" s="1"/>
  <c r="H17" i="4"/>
  <c r="I26" i="2"/>
  <c r="B25" i="5" s="1"/>
  <c r="H19" i="4"/>
  <c r="I19" i="4" s="1"/>
  <c r="H12" i="4"/>
  <c r="I12" i="4" s="1"/>
  <c r="H22" i="4"/>
  <c r="I22" i="4" s="1"/>
  <c r="I25" i="2"/>
  <c r="H20" i="4"/>
  <c r="I20" i="4" s="1"/>
  <c r="I11" i="4"/>
  <c r="H23" i="4"/>
  <c r="I23" i="4" s="1"/>
  <c r="H25" i="4"/>
  <c r="I25" i="4" s="1"/>
  <c r="H14" i="4"/>
  <c r="I14" i="4" s="1"/>
  <c r="H20" i="2"/>
  <c r="I17" i="4"/>
  <c r="H16" i="4"/>
  <c r="I16" i="4" s="1"/>
  <c r="H15" i="4"/>
  <c r="I15" i="4" s="1"/>
  <c r="I45" i="4" s="1"/>
  <c r="B26" i="5" s="1"/>
  <c r="H21" i="4"/>
  <c r="I21" i="4" s="1"/>
  <c r="I47" i="4" s="1"/>
  <c r="H24" i="4"/>
  <c r="I24" i="4" s="1"/>
  <c r="H10" i="4"/>
  <c r="I10" i="4" s="1"/>
  <c r="H13" i="4"/>
  <c r="I13" i="4" s="1"/>
  <c r="I20" i="2"/>
  <c r="J28" i="2" s="1"/>
  <c r="I27" i="2"/>
  <c r="C39" i="5"/>
  <c r="C37" i="5"/>
  <c r="I44" i="4" l="1"/>
  <c r="I43" i="4"/>
  <c r="I28" i="4"/>
  <c r="I46" i="4"/>
  <c r="J27" i="2"/>
  <c r="B31" i="5"/>
  <c r="B38" i="5" s="1"/>
  <c r="D38" i="5" s="1"/>
  <c r="B30" i="5"/>
  <c r="B36" i="5" s="1"/>
  <c r="D36" i="5" s="1"/>
  <c r="B3" i="3"/>
  <c r="B5" i="3" s="1"/>
  <c r="B32" i="5"/>
  <c r="B40" i="5" s="1"/>
  <c r="D40" i="5" s="1"/>
  <c r="B13" i="3"/>
  <c r="J25" i="2"/>
  <c r="J26" i="2"/>
  <c r="C31" i="5"/>
  <c r="B39" i="5" s="1"/>
  <c r="D39" i="5" s="1"/>
  <c r="C30" i="5"/>
  <c r="B37" i="5" s="1"/>
  <c r="D37" i="5" s="1"/>
  <c r="B38" i="4"/>
  <c r="C32" i="5"/>
  <c r="B41" i="5" s="1"/>
  <c r="D41" i="5" s="1"/>
  <c r="J24" i="2"/>
  <c r="B39" i="4" l="1"/>
  <c r="B9" i="3"/>
</calcChain>
</file>

<file path=xl/sharedStrings.xml><?xml version="1.0" encoding="utf-8"?>
<sst xmlns="http://schemas.openxmlformats.org/spreadsheetml/2006/main" count="330" uniqueCount="237">
  <si>
    <t>A small exercise I built to actually understand how RWA and CET1</t>
  </si>
  <si>
    <t>ratios work, using a mock portfolio shaped like State Street Markets'</t>
  </si>
  <si>
    <t>real business (repo, securities lending, derivatives). Built this</t>
  </si>
  <si>
    <t>Regulators put out a re-proposed Basel III Endgame rule in March 2026</t>
  </si>
  <si>
    <t>that's expected to ease up capital requirements a bit compared to the</t>
  </si>
  <si>
    <t>2023 version (still not final as of this workbook). Since this directly</t>
  </si>
  <si>
    <t>affects the kind of work this role does, I'm adding a side-by-side:</t>
  </si>
  <si>
    <t>current Basel III vs. the Endgame proposal, both under baseline and</t>
  </si>
  <si>
    <t>under the stress scenario. Numbers for the Endgame layer are my own</t>
  </si>
  <si>
    <t>illustrative assumption (a modest risk-weight reduction on derivatives</t>
  </si>
  <si>
    <t>and securitization exposures), not an official regulatory estimate.</t>
  </si>
  <si>
    <t xml:space="preserve">  - the Severely Adverse stress scenario assumptions</t>
  </si>
  <si>
    <t xml:space="preserve">  - the ~10.8% CET1 ratio target (State Street's actual Q2 2026 number)</t>
  </si>
  <si>
    <t xml:space="preserve">  - counterparty names, exposure amounts, collateral values</t>
  </si>
  <si>
    <t xml:space="preserve">  - the Basel III Endgame risk-weight adjustment (illustrative only)</t>
  </si>
  <si>
    <t>Link</t>
  </si>
  <si>
    <t>State Street 10-Q, June 30 2026 (RWA Roll-Forward table, Note 9 on Indemnified Securities Financing, repo/sec-lending maturity table)</t>
  </si>
  <si>
    <t>https://www.sec.gov/Archives/edgar/data/0000093751/000009375126000397/stt-20260630.htm</t>
  </si>
  <si>
    <t>State Street 2025 Dodd-Frank Act Stress Test Disclosure, July 1 2025 (Severely Adverse scenario assumptions)</t>
  </si>
  <si>
    <t>https://s203.q4cdn.com/888565246/files/doc_downloads/Dodd_Frank/2025/2025-Federal-Reserve-Stress-Test-Disclosure-vfinal.pdf</t>
  </si>
  <si>
    <t>State Street 2Q26 Earnings Release Addendum (real CET1, RWA used to sanity-check the model)</t>
  </si>
  <si>
    <t>https://s203.q4cdn.com/888565246/files/doc_financials/2026/q2/STT-2Q26-Earnings-Release-Addendum-vFinal.pdf</t>
  </si>
  <si>
    <t>Federal Reserve press release, March 19 2026, on the Basel III Endgame re-proposal (used for direction/magnitude only, not exact figures)</t>
  </si>
  <si>
    <t>https://www.federalreserve.gov/newsevents/pressreleases/bcreg20260319a.htm</t>
  </si>
  <si>
    <t>What's in each sheet:</t>
  </si>
  <si>
    <t>ID</t>
  </si>
  <si>
    <t>Category</t>
  </si>
  <si>
    <t>Counterparty (mock)</t>
  </si>
  <si>
    <t>Exposure ($M)</t>
  </si>
  <si>
    <t>Collateral ($M)</t>
  </si>
  <si>
    <t>Haircut (%)</t>
  </si>
  <si>
    <t>Risk Weight (%)</t>
  </si>
  <si>
    <t>E* = Exposure net of collateral ($M)</t>
  </si>
  <si>
    <t>RWA ($M)</t>
  </si>
  <si>
    <t>Repo-01</t>
  </si>
  <si>
    <t>Repo-style transactions</t>
  </si>
  <si>
    <t>ABC Broker-Dealer</t>
  </si>
  <si>
    <t>N</t>
  </si>
  <si>
    <t>Repo-02</t>
  </si>
  <si>
    <t>DEF Broker-Dealer</t>
  </si>
  <si>
    <t>Repo-03</t>
  </si>
  <si>
    <t>GHI Sponsored Repo Client (FICC)</t>
  </si>
  <si>
    <t>Repo-04</t>
  </si>
  <si>
    <t>JKL Sponsored Repo Client (FICC)</t>
  </si>
  <si>
    <t>Deriv-01</t>
  </si>
  <si>
    <t>OTC derivatives</t>
  </si>
  <si>
    <t>MNO Asset Manager - FX fwd</t>
  </si>
  <si>
    <t>Deriv-02</t>
  </si>
  <si>
    <t>PQR Asset Manager - FX swap</t>
  </si>
  <si>
    <t>Deriv-03</t>
  </si>
  <si>
    <t>STU Pension Fund - IR swap</t>
  </si>
  <si>
    <t>Deriv-04</t>
  </si>
  <si>
    <t>VWX Sovereign Fund - FX fwd</t>
  </si>
  <si>
    <t>Loan-01</t>
  </si>
  <si>
    <t>Loans</t>
  </si>
  <si>
    <t>Loan-02</t>
  </si>
  <si>
    <t>Loan-03</t>
  </si>
  <si>
    <t>Sec-01</t>
  </si>
  <si>
    <t>Securitization</t>
  </si>
  <si>
    <t>Y</t>
  </si>
  <si>
    <t>Sec-02</t>
  </si>
  <si>
    <t>Indem-01</t>
  </si>
  <si>
    <t>Indemnified securities financing</t>
  </si>
  <si>
    <t>Indem-02</t>
  </si>
  <si>
    <t>Indem-03</t>
  </si>
  <si>
    <t>TOTAL PORTFOLIO</t>
  </si>
  <si>
    <t>RWA by category</t>
  </si>
  <si>
    <t>% of total RWA</t>
  </si>
  <si>
    <t>Capital Summary - Baseline (no stress)</t>
  </si>
  <si>
    <t>Total RWA ($M)</t>
  </si>
  <si>
    <t>Sum of mock portfolio RWA (Portfolio sheet)</t>
  </si>
  <si>
    <t>CET1 Capital ($M) - assumption</t>
  </si>
  <si>
    <t>Set so baseline CET1 ratio lands near State Street's real 2Q26 ratio (~10.8%) for calibration</t>
  </si>
  <si>
    <t>CET1 Ratio</t>
  </si>
  <si>
    <t>CET1 Ratio = CET1 Capital / Total RWA</t>
  </si>
  <si>
    <t>Calibration check</t>
  </si>
  <si>
    <t>Real State Street CET1 Ratio, 2Q26 (Standardized)</t>
  </si>
  <si>
    <t>Difference (mock model vs real)</t>
  </si>
  <si>
    <t>RWA composition check vs real 10-Q roll-forward</t>
  </si>
  <si>
    <t>Real: Credit risk RWA, % of total (2Q26 Standardized)</t>
  </si>
  <si>
    <t>$140,668M credit / $143,406M total. Source: 10-Q Table, June 30 2026</t>
  </si>
  <si>
    <t>Mock model: RWA in credit-risk-style categories, % of total</t>
  </si>
  <si>
    <t>All mock categories are credit-risk-style, so this should read ~100%</t>
  </si>
  <si>
    <t>Stress Scenario - Supervisory Severely Adverse</t>
  </si>
  <si>
    <t>Source: State Street 2025 DFAST Disclosure (Severely Adverse scenario: unemployment 10%, real GDP -7.8%, equity market -50%). Row-level shocks below are my own simplified way of applying those macro assumptions to this mock portfolio - not State Street's actual stress methodology.</t>
  </si>
  <si>
    <t>Stress assumptions</t>
  </si>
  <si>
    <t>Equity market shock (Severely Adverse)</t>
  </si>
  <si>
    <t>DFAST 2025: equity market decline of 50% over the 9-quarter horizon</t>
  </si>
  <si>
    <t>Haircut add-on under stress</t>
  </si>
  <si>
    <t>Illustrative: wider haircuts as market liquidity deteriorates</t>
  </si>
  <si>
    <t>Risk weight add-on under stress</t>
  </si>
  <si>
    <t>Illustrative: credit migration as unemployment rises to 10%, GDP falls 7.8%</t>
  </si>
  <si>
    <t>Stressed Collateral ($M)</t>
  </si>
  <si>
    <t>Stressed Haircut (%)</t>
  </si>
  <si>
    <t>Stressed Risk Weight (%)</t>
  </si>
  <si>
    <t>Stressed E* ($M)</t>
  </si>
  <si>
    <t>Stressed RWA ($M)</t>
  </si>
  <si>
    <t>TOTAL STRESSED RWA</t>
  </si>
  <si>
    <t>Stressed CET1 capital rollforward</t>
  </si>
  <si>
    <t>Beginning CET1 Capital ($M)</t>
  </si>
  <si>
    <t>Baseline CET1 Capital from Capital_Summary</t>
  </si>
  <si>
    <t>+ Net income under stress ($M)</t>
  </si>
  <si>
    <t>Illustrative: PPNR still positive but much lower under stress (per DFAST driver logic)</t>
  </si>
  <si>
    <t>- Trading &amp; counterparty losses ($M)</t>
  </si>
  <si>
    <t>Illustrative: losses from the Counterparty Default Scenario component</t>
  </si>
  <si>
    <t>- Other credit losses ($M)</t>
  </si>
  <si>
    <t>Illustrative: incremental provisioning as unemployment/GDP assumptions bite</t>
  </si>
  <si>
    <t>Ending Stressed CET1 Capital ($M)</t>
  </si>
  <si>
    <t>Stressed CET1 Ratio</t>
  </si>
  <si>
    <t>Baseline CET1 Ratio (for comparison)</t>
  </si>
  <si>
    <t>Regulatory minimum (Basel III)</t>
  </si>
  <si>
    <t>Stressed RWA by category</t>
  </si>
  <si>
    <t>Current Basel III vs. Basel III Endgame</t>
  </si>
  <si>
    <t>Business Indicator inputs (mock, illustrative)</t>
  </si>
  <si>
    <t>Interest income component ($M)</t>
  </si>
  <si>
    <t>Fee (services) income ($M)</t>
  </si>
  <si>
    <t>Fee (services) expenses ($M)</t>
  </si>
  <si>
    <t>Cost of providing those fee services</t>
  </si>
  <si>
    <t>Financial component ($M)</t>
  </si>
  <si>
    <t>Business Indicator (BI)</t>
  </si>
  <si>
    <t>2023 draft (gross)</t>
  </si>
  <si>
    <t>2026 re-proposal (net)</t>
  </si>
  <si>
    <t>Note</t>
  </si>
  <si>
    <t>Services leg</t>
  </si>
  <si>
    <t>2023: fee income + fee expenses, no netting. 2026: netted.</t>
  </si>
  <si>
    <t>Interest leg</t>
  </si>
  <si>
    <t>Financial leg</t>
  </si>
  <si>
    <t>Total BI</t>
  </si>
  <si>
    <t>Marginal coefficient (illustrative single bucket)</t>
  </si>
  <si>
    <t>Internal Loss Multiplier (ILM)</t>
  </si>
  <si>
    <t>Operational Risk RWA = 12.5 x BI x coefficient x ILM</t>
  </si>
  <si>
    <t xml:space="preserve">  2023 draft (gross BI)</t>
  </si>
  <si>
    <t>CVA charge, as % of Derivatives RWA (illustrative)</t>
  </si>
  <si>
    <t>Brand new charge under Endgame for derivatives counterparty mark-to-market risk</t>
  </si>
  <si>
    <t>CVA RWA - baseline</t>
  </si>
  <si>
    <t>CVA RWA - stressed</t>
  </si>
  <si>
    <t>Total RWA by framework</t>
  </si>
  <si>
    <t>Framework</t>
  </si>
  <si>
    <t>Baseline RWA ($M)</t>
  </si>
  <si>
    <t>Current Basel III</t>
  </si>
  <si>
    <t>Endgame - 2023 draft (gross BI)</t>
  </si>
  <si>
    <t>CET1 Ratio comparison</t>
  </si>
  <si>
    <t>Scenario</t>
  </si>
  <si>
    <t>CET1 Capital ($M)</t>
  </si>
  <si>
    <t>Current Basel III - Baseline</t>
  </si>
  <si>
    <t>Current Basel III - Stressed</t>
  </si>
  <si>
    <t>Endgame 2023 draft - Baseline</t>
  </si>
  <si>
    <t>Endgame 2023 draft - Stressed</t>
  </si>
  <si>
    <t>Regulatory minimum (Basel III): 4.5% - same floor applies under all frameworks</t>
  </si>
  <si>
    <t xml:space="preserve">mainly to prep for a Capital Optimization Analyst role </t>
  </si>
  <si>
    <t>reading about Basel III wasn't clicking until I tried building the math myself.</t>
  </si>
  <si>
    <t>Real (taken from State Street's public filings):</t>
  </si>
  <si>
    <t xml:space="preserve">  - the transaction categories and RWA formulas (standard Basel SFT exposure formula)</t>
  </si>
  <si>
    <t>Fake (not State Street's actual data, and made up by me):</t>
  </si>
  <si>
    <t>1. Portfolio: the mock transactions, with live RWA formulas</t>
  </si>
  <si>
    <t>2. Capital_Summary: baseline CET1 ratio + check against the real number</t>
  </si>
  <si>
    <t>3. Stress_Scenario: Severely Adverse shocks applied, stressed CET1 ratio</t>
  </si>
  <si>
    <t>4. Basel_III_Endgame: current rules vs. the proposed rules, side by side</t>
  </si>
  <si>
    <t>Mock State Street Markets Capital &amp; RWA Model</t>
  </si>
  <si>
    <t>Purpose of the Project</t>
  </si>
  <si>
    <t>DATA Information</t>
  </si>
  <si>
    <t>Sources</t>
  </si>
  <si>
    <t>Basel III Endgame comparison</t>
  </si>
  <si>
    <t>YZ Corp</t>
  </si>
  <si>
    <t>12 Corp</t>
  </si>
  <si>
    <t>34 Real Estate LLC</t>
  </si>
  <si>
    <t>56 ABS Tranche</t>
  </si>
  <si>
    <t>78 ABS Tranche</t>
  </si>
  <si>
    <t>910 Agency Lending Client</t>
  </si>
  <si>
    <t>11 Agency Lending Client</t>
  </si>
  <si>
    <t>12 Hedge Fund (borrower)</t>
  </si>
  <si>
    <t>Exposure</t>
  </si>
  <si>
    <t>The amount at risk if the counterparty doesn't pay it back.</t>
  </si>
  <si>
    <t>Collateral</t>
  </si>
  <si>
    <t>What the counterparty pledges as security for that amount.</t>
  </si>
  <si>
    <t>Haircut</t>
  </si>
  <si>
    <t>A safety discount on collateral value, since it could lose value before it's sold. Higher haircut = collateral is trusted less.</t>
  </si>
  <si>
    <t>Risk Weight</t>
  </si>
  <si>
    <t>E* (Exposure net of collateral)</t>
  </si>
  <si>
    <t>What's actually at risk after subtracting trusted collateral value. RWA is calculated from this, not the raw exposure.</t>
  </si>
  <si>
    <t>RWA</t>
  </si>
  <si>
    <t>E* x Risk Weight - the number capital requirements are based on.</t>
  </si>
  <si>
    <t>A regulator set multiplier for how risky that counterparty/collateral type is.</t>
  </si>
  <si>
    <t>Collateral is equity type?</t>
  </si>
  <si>
    <t>NOTES</t>
  </si>
  <si>
    <t>If the counterparty disappeared right now, how much would we actually lose after subtracting the trusted collateral?"</t>
  </si>
  <si>
    <t>Hair cut: safety discount</t>
  </si>
  <si>
    <t>E* = MAX(0, Exposure - Collateral×(1-Haircut))</t>
  </si>
  <si>
    <t>we only "trust" $426.3M of it because we're discounting 2% in case</t>
  </si>
  <si>
    <t>even though the collateral is worth $435M on paper</t>
  </si>
  <si>
    <t>its value drops before we can sell it.</t>
  </si>
  <si>
    <t>A= Collateral×(1-Haircut)</t>
  </si>
  <si>
    <t>E* = Exposure - [A]</t>
  </si>
  <si>
    <t>how much we lent minus the trusted collateral value we just calculated</t>
  </si>
  <si>
    <t>Real State Street CET1 Ratio (2Q26, per their actual earnings release): 10.8%</t>
  </si>
  <si>
    <t>Difference between mock model and the real number: 0.0%</t>
  </si>
  <si>
    <r>
      <t>Stressed Haircut</t>
    </r>
    <r>
      <rPr>
        <sz val="11"/>
        <color theme="1"/>
        <rFont val="Times New Roman"/>
        <family val="1"/>
      </rPr>
      <t xml:space="preserve"> = Haircut + Haircut Add-on</t>
    </r>
  </si>
  <si>
    <r>
      <t>Stressed Risk Weight</t>
    </r>
    <r>
      <rPr>
        <sz val="11"/>
        <color theme="1"/>
        <rFont val="Times New Roman"/>
        <family val="1"/>
      </rPr>
      <t xml:space="preserve"> = MIN(100%, Risk Weight + Risk Weight Add-on)</t>
    </r>
  </si>
  <si>
    <r>
      <t>Stressed E* (Effective Exposure)</t>
    </r>
    <r>
      <rPr>
        <sz val="11"/>
        <color theme="1"/>
        <rFont val="Times New Roman"/>
        <family val="1"/>
      </rPr>
      <t xml:space="preserve"> = MAX(0, Exposure − Collateral × (1 − Haircut))</t>
    </r>
  </si>
  <si>
    <r>
      <t>Stressed RWA</t>
    </r>
    <r>
      <rPr>
        <sz val="11"/>
        <color theme="1"/>
        <rFont val="Times New Roman"/>
        <family val="1"/>
      </rPr>
      <t xml:space="preserve"> = E* × Risk Weight</t>
    </r>
  </si>
  <si>
    <r>
      <t>Stressed Collateral</t>
    </r>
    <r>
      <rPr>
        <sz val="11"/>
        <color theme="1"/>
        <rFont val="Times New Roman"/>
        <family val="1"/>
      </rPr>
      <t xml:space="preserve"> = Collateral × (1 + Equity Shock</t>
    </r>
    <r>
      <rPr>
        <b/>
        <sz val="11"/>
        <color theme="1"/>
        <rFont val="Times New Roman"/>
        <family val="1"/>
      </rPr>
      <t>)</t>
    </r>
  </si>
  <si>
    <t>Correction from an earlier draft of this workbook: a flat risk-weight cut on derivatives/securitization was NOT the right mechanism. The real driver for a custody bank like State Street is that Endgame adds two BRAND NEW capital charges that don't exist under current Basel III: (1) Operational Risk RWA, based on a 'Business Indicator' built largely from FEE income, State Street itself flagged this as a major concern in its own SEC filings, since custody banks earn most revenue from fees; and (2) a CVA (Credit Valuation Adjustment) charge on derivatives. The 2023 draft measured fee income on a GROSS basis (no netting) the March 2026 reproposal softens this to a NET basis, which is a real, specific relief for fee heavy banks. Figures below are illustrative mock numbers, not State Street's actual revenue or capital impact.</t>
  </si>
  <si>
    <t>Sized to reflect a fee heavy, custody style business</t>
  </si>
  <si>
    <t>Illustrative trading P&amp;L component of the BI</t>
  </si>
  <si>
    <t>Real rule uses tiered coefficients (12%/15%/18%) by BI size simplified to one bucket here</t>
  </si>
  <si>
    <t>Proposal floors ILM at 1, no credit for a clean loss history</t>
  </si>
  <si>
    <t>Illustrative proxy for NII on this mock book</t>
  </si>
  <si>
    <t>Endgame 2026 reproposal - Baseline</t>
  </si>
  <si>
    <t>Endgame 2026 reproposal - Stressed</t>
  </si>
  <si>
    <t xml:space="preserve">  2026 reproposal (net BI)</t>
  </si>
  <si>
    <t>Endgame - 2026 reproposal (net BI)</t>
  </si>
  <si>
    <t>Baseline</t>
  </si>
  <si>
    <t>Stressed</t>
  </si>
  <si>
    <t>Note: rows 2-17 link to Portfolio (baseline). Rows 18-33 link to Stress_Scenario (Severely Adverse). "Collateral is equity type?" for stressed rows is looked up from Portfolio by matching ID, since Stress_Scenario doesn't repeat that column.</t>
  </si>
  <si>
    <t>RWA Summary: by Category and by Framework</t>
  </si>
  <si>
    <t>1. RWA by Category and Scenario</t>
  </si>
  <si>
    <t>Baseline ($M)</t>
  </si>
  <si>
    <t>Stressed ($M)</t>
  </si>
  <si>
    <t>Change ($M)</t>
  </si>
  <si>
    <t>% of Stressed Total</t>
  </si>
  <si>
    <t>Grand Total</t>
  </si>
  <si>
    <t>2. Framework Bridge (Stressed), reconciled to Basel_III_Endgame</t>
  </si>
  <si>
    <t>Line item</t>
  </si>
  <si>
    <t>2023 draft ($M)</t>
  </si>
  <si>
    <t>2026 re-proposal ($M)</t>
  </si>
  <si>
    <t>Current Basel III RWA, Stressed (from Section 1)</t>
  </si>
  <si>
    <t>+ CVA RWA add-on (Derivatives only, stressed)</t>
  </si>
  <si>
    <t>+ Operational Risk RWA (firm-wide, not tied to any category)</t>
  </si>
  <si>
    <t>Endgame Stressed RWA (computed here)</t>
  </si>
  <si>
    <t>Basel_III_Endgame tab shows (for comparison)</t>
  </si>
  <si>
    <t>Check: difference (should be $0.0)</t>
  </si>
  <si>
    <t>3. Current Basel III vs. Endgame, Stressed (Severely Adverse)</t>
  </si>
  <si>
    <t>Change vs. Current ($M)</t>
  </si>
  <si>
    <t>Buffer above 4.5% floor</t>
  </si>
  <si>
    <t>Endgame, 2023 draft</t>
  </si>
  <si>
    <t>Endgame, 2026 re-proposal</t>
  </si>
  <si>
    <t>Note: 'Buffer above 4.5% floor' highlights red when under 1.0 percentage point, since that is the zone examiners and rating agencies watch most closely. The 2023 draft sits at only 0.2 points above the floor; the 2026 re-proposal restores about 0.4 points of that buffer, entirely from the fee-income netting change, not from any change to the underlying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</si>
</sst>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"/>
    <numFmt numFmtId="165" formatCode="0.0%"/>
    <numFmt numFmtId="170" formatCode="\$#,##0.0;&quot;($&quot;#,##0.0\);\-"/>
    <numFmt numFmtId="171" formatCode="&quot;+$&quot;#,##0.0;&quot;-$&quot;#,##0.0;\-"/>
  </numFmts>
  <fonts count="29" x14ac:knownFonts="1">
    <font>
      <sz val="11"/>
      <color theme="1"/>
      <name val="Calibri"/>
      <family val="2"/>
      <charset val="1"/>
    </font>
    <font>
      <b/>
      <sz val="12"/>
      <name val="Cambria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rgb="FF0563C1"/>
      <name val="Times New Roman"/>
      <family val="1"/>
    </font>
    <font>
      <b/>
      <sz val="11"/>
      <color rgb="FFFFFFFF"/>
      <name val="Times New Roman"/>
      <family val="1"/>
    </font>
    <font>
      <sz val="11"/>
      <color rgb="FF0000FF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i/>
      <sz val="10"/>
      <color rgb="FF444444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666666"/>
      <name val="Cambria"/>
      <family val="1"/>
    </font>
    <font>
      <sz val="12"/>
      <color theme="1"/>
      <name val="Calibri"/>
      <family val="2"/>
      <charset val="1"/>
    </font>
    <font>
      <sz val="12"/>
      <color rgb="FF000000"/>
      <name val="Cambria"/>
      <family val="1"/>
    </font>
    <font>
      <sz val="12"/>
      <color rgb="FF0000FF"/>
      <name val="Cambria"/>
      <family val="1"/>
    </font>
    <font>
      <b/>
      <sz val="13"/>
      <name val="Times New Roman"/>
      <family val="1"/>
    </font>
    <font>
      <i/>
      <sz val="9"/>
      <color rgb="FF666666"/>
      <name val="Times New Roman"/>
      <family val="1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i/>
      <sz val="9"/>
      <color rgb="FF7F7F7F"/>
      <name val="Arial"/>
      <family val="2"/>
    </font>
    <font>
      <i/>
      <sz val="9"/>
      <color rgb="FF7F7F7F"/>
      <name val="Times New Roman"/>
      <family val="1"/>
    </font>
    <font>
      <sz val="11"/>
      <name val="Times New Roman"/>
      <family val="1"/>
    </font>
    <font>
      <sz val="11"/>
      <color rgb="FF008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BF1D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4" fillId="4" borderId="0" xfId="0" applyFont="1" applyFill="1"/>
    <xf numFmtId="0" fontId="4" fillId="5" borderId="0" xfId="0" applyFont="1" applyFill="1"/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/>
    <xf numFmtId="165" fontId="8" fillId="0" borderId="1" xfId="0" applyNumberFormat="1" applyFont="1" applyBorder="1"/>
    <xf numFmtId="164" fontId="9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  <xf numFmtId="0" fontId="9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2" fillId="4" borderId="0" xfId="0" applyFont="1" applyFill="1"/>
    <xf numFmtId="0" fontId="8" fillId="0" borderId="0" xfId="0" applyFont="1" applyBorder="1"/>
    <xf numFmtId="164" fontId="8" fillId="0" borderId="0" xfId="0" applyNumberFormat="1" applyFont="1" applyBorder="1"/>
    <xf numFmtId="165" fontId="8" fillId="0" borderId="0" xfId="0" applyNumberFormat="1" applyFont="1" applyBorder="1"/>
    <xf numFmtId="164" fontId="9" fillId="0" borderId="0" xfId="0" applyNumberFormat="1" applyFont="1" applyBorder="1"/>
    <xf numFmtId="0" fontId="11" fillId="0" borderId="0" xfId="0" applyFont="1"/>
    <xf numFmtId="0" fontId="10" fillId="6" borderId="0" xfId="0" applyFont="1" applyFill="1"/>
    <xf numFmtId="0" fontId="12" fillId="0" borderId="0" xfId="0" applyFont="1"/>
    <xf numFmtId="0" fontId="13" fillId="0" borderId="0" xfId="0" applyFont="1"/>
    <xf numFmtId="164" fontId="14" fillId="0" borderId="0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165" fontId="18" fillId="0" borderId="0" xfId="0" applyNumberFormat="1" applyFont="1"/>
    <xf numFmtId="0" fontId="18" fillId="0" borderId="0" xfId="0" applyFont="1"/>
    <xf numFmtId="165" fontId="19" fillId="0" borderId="0" xfId="0" applyNumberFormat="1" applyFont="1"/>
    <xf numFmtId="0" fontId="1" fillId="4" borderId="0" xfId="0" applyFont="1" applyFill="1"/>
    <xf numFmtId="0" fontId="20" fillId="0" borderId="0" xfId="0" applyFont="1"/>
    <xf numFmtId="0" fontId="21" fillId="0" borderId="0" xfId="0" applyFont="1" applyAlignment="1">
      <alignment wrapText="1"/>
    </xf>
    <xf numFmtId="165" fontId="8" fillId="0" borderId="0" xfId="0" applyNumberFormat="1" applyFont="1"/>
    <xf numFmtId="0" fontId="21" fillId="0" borderId="0" xfId="0" applyFont="1"/>
    <xf numFmtId="0" fontId="9" fillId="0" borderId="1" xfId="0" applyFont="1" applyBorder="1"/>
    <xf numFmtId="165" fontId="9" fillId="0" borderId="1" xfId="0" applyNumberFormat="1" applyFont="1" applyBorder="1"/>
    <xf numFmtId="164" fontId="9" fillId="0" borderId="0" xfId="0" applyNumberFormat="1" applyFont="1"/>
    <xf numFmtId="164" fontId="8" fillId="0" borderId="0" xfId="0" applyNumberFormat="1" applyFont="1"/>
    <xf numFmtId="164" fontId="2" fillId="4" borderId="0" xfId="0" applyNumberFormat="1" applyFont="1" applyFill="1"/>
    <xf numFmtId="165" fontId="2" fillId="4" borderId="0" xfId="0" applyNumberFormat="1" applyFont="1" applyFill="1"/>
    <xf numFmtId="0" fontId="20" fillId="4" borderId="0" xfId="0" applyFont="1" applyFill="1"/>
    <xf numFmtId="0" fontId="3" fillId="4" borderId="0" xfId="0" applyFont="1" applyFill="1"/>
    <xf numFmtId="0" fontId="9" fillId="0" borderId="0" xfId="0" applyFont="1" applyBorder="1"/>
    <xf numFmtId="0" fontId="7" fillId="2" borderId="0" xfId="0" applyFont="1" applyFill="1"/>
    <xf numFmtId="2" fontId="8" fillId="0" borderId="0" xfId="0" applyNumberFormat="1" applyFont="1"/>
    <xf numFmtId="0" fontId="7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2" fillId="0" borderId="1" xfId="0" applyNumberFormat="1" applyFont="1" applyBorder="1"/>
    <xf numFmtId="164" fontId="9" fillId="7" borderId="1" xfId="0" applyNumberFormat="1" applyFont="1" applyFill="1" applyBorder="1"/>
    <xf numFmtId="164" fontId="8" fillId="7" borderId="1" xfId="0" applyNumberFormat="1" applyFont="1" applyFill="1" applyBorder="1"/>
    <xf numFmtId="164" fontId="8" fillId="0" borderId="1" xfId="0" applyNumberFormat="1" applyFont="1" applyFill="1" applyBorder="1"/>
    <xf numFmtId="164" fontId="9" fillId="0" borderId="1" xfId="0" applyNumberFormat="1" applyFont="1" applyFill="1" applyBorder="1"/>
    <xf numFmtId="0" fontId="22" fillId="8" borderId="2" xfId="0" applyFont="1" applyFill="1" applyBorder="1" applyAlignment="1">
      <alignment horizontal="center" vertical="center" wrapText="1"/>
    </xf>
    <xf numFmtId="0" fontId="23" fillId="0" borderId="2" xfId="0" applyFont="1" applyBorder="1"/>
    <xf numFmtId="0" fontId="24" fillId="0" borderId="2" xfId="0" applyFont="1" applyBorder="1"/>
    <xf numFmtId="170" fontId="23" fillId="0" borderId="2" xfId="0" applyNumberFormat="1" applyFont="1" applyBorder="1"/>
    <xf numFmtId="165" fontId="23" fillId="0" borderId="2" xfId="0" applyNumberFormat="1" applyFont="1" applyBorder="1"/>
    <xf numFmtId="0" fontId="25" fillId="0" borderId="0" xfId="0" applyFont="1" applyAlignment="1">
      <alignment vertical="top" wrapText="1"/>
    </xf>
    <xf numFmtId="0" fontId="26" fillId="0" borderId="0" xfId="0" applyFont="1"/>
    <xf numFmtId="0" fontId="7" fillId="8" borderId="2" xfId="0" applyFont="1" applyFill="1" applyBorder="1" applyAlignment="1">
      <alignment horizontal="center" vertical="center" wrapText="1"/>
    </xf>
    <xf numFmtId="0" fontId="27" fillId="0" borderId="2" xfId="0" applyFont="1" applyBorder="1"/>
    <xf numFmtId="170" fontId="28" fillId="0" borderId="2" xfId="0" applyNumberFormat="1" applyFont="1" applyBorder="1"/>
    <xf numFmtId="165" fontId="27" fillId="0" borderId="2" xfId="0" applyNumberFormat="1" applyFont="1" applyBorder="1"/>
    <xf numFmtId="0" fontId="2" fillId="9" borderId="2" xfId="0" applyFont="1" applyFill="1" applyBorder="1"/>
    <xf numFmtId="170" fontId="2" fillId="9" borderId="2" xfId="0" applyNumberFormat="1" applyFont="1" applyFill="1" applyBorder="1"/>
    <xf numFmtId="165" fontId="2" fillId="9" borderId="2" xfId="0" applyNumberFormat="1" applyFont="1" applyFill="1" applyBorder="1"/>
    <xf numFmtId="0" fontId="2" fillId="0" borderId="2" xfId="0" applyFont="1" applyBorder="1"/>
    <xf numFmtId="170" fontId="2" fillId="0" borderId="2" xfId="0" applyNumberFormat="1" applyFont="1" applyBorder="1"/>
    <xf numFmtId="0" fontId="26" fillId="0" borderId="0" xfId="0" applyFont="1" applyAlignment="1">
      <alignment vertical="top" wrapText="1"/>
    </xf>
    <xf numFmtId="171" fontId="27" fillId="0" borderId="2" xfId="0" applyNumberFormat="1" applyFont="1" applyBorder="1"/>
    <xf numFmtId="165" fontId="28" fillId="0" borderId="2" xfId="0" applyNumberFormat="1" applyFont="1" applyBorder="1"/>
    <xf numFmtId="10" fontId="27" fillId="0" borderId="2" xfId="0" applyNumberFormat="1" applyFont="1" applyBorder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StateStreetMarketRWA%20(1).xlsx" TargetMode="External"/><Relationship Id="rId2" Type="http://schemas.openxmlformats.org/officeDocument/2006/relationships/externalLinkPath" Target="/Users/jasmine.kela/Downloads/StateStreetMarketRWA%20(1).xlsx" TargetMode="External"/><Relationship Id="rId1" Type="http://schemas.openxmlformats.org/officeDocument/2006/relationships/externalLinkPath" Target="/Users/jasmine.kela/Downloads/StateStreetMarketRW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Portfolio"/>
      <sheetName val="Capital_Summary"/>
      <sheetName val="Stress_Scenario"/>
      <sheetName val="Basel_III_Endgame"/>
      <sheetName val="Combined_Data"/>
      <sheetName val="RWA_Summary"/>
    </sheetNames>
    <sheetDataSet>
      <sheetData sheetId="0"/>
      <sheetData sheetId="1">
        <row r="2">
          <cell r="A2" t="str">
            <v>Repo-01</v>
          </cell>
          <cell r="B2" t="str">
            <v>Repo-style transactions</v>
          </cell>
          <cell r="C2" t="str">
            <v>ABC Broker-Dealer</v>
          </cell>
          <cell r="D2">
            <v>420</v>
          </cell>
          <cell r="E2">
            <v>435</v>
          </cell>
          <cell r="F2">
            <v>0.02</v>
          </cell>
          <cell r="G2">
            <v>0.2</v>
          </cell>
          <cell r="H2">
            <v>0</v>
          </cell>
          <cell r="I2">
            <v>0</v>
          </cell>
          <cell r="J2" t="str">
            <v>N</v>
          </cell>
        </row>
        <row r="3">
          <cell r="A3" t="str">
            <v>Repo-02</v>
          </cell>
          <cell r="B3" t="str">
            <v>Repo-style transactions</v>
          </cell>
          <cell r="C3" t="str">
            <v>DEF Broker-Dealer</v>
          </cell>
          <cell r="D3">
            <v>310</v>
          </cell>
          <cell r="E3">
            <v>318</v>
          </cell>
          <cell r="F3">
            <v>0.02</v>
          </cell>
          <cell r="G3">
            <v>0.2</v>
          </cell>
          <cell r="H3">
            <v>0</v>
          </cell>
          <cell r="I3">
            <v>0</v>
          </cell>
          <cell r="J3" t="str">
            <v>N</v>
          </cell>
        </row>
        <row r="4">
          <cell r="A4" t="str">
            <v>Repo-03</v>
          </cell>
          <cell r="B4" t="str">
            <v>Repo-style transactions</v>
          </cell>
          <cell r="C4" t="str">
            <v>GHI Sponsored Repo Client (FICC)</v>
          </cell>
          <cell r="D4">
            <v>260</v>
          </cell>
          <cell r="E4">
            <v>268</v>
          </cell>
          <cell r="F4">
            <v>0.02</v>
          </cell>
          <cell r="G4">
            <v>0.2</v>
          </cell>
          <cell r="H4">
            <v>0</v>
          </cell>
          <cell r="I4">
            <v>0</v>
          </cell>
          <cell r="J4" t="str">
            <v>N</v>
          </cell>
        </row>
        <row r="5">
          <cell r="A5" t="str">
            <v>Repo-04</v>
          </cell>
          <cell r="B5" t="str">
            <v>Repo-style transactions</v>
          </cell>
          <cell r="C5" t="str">
            <v>JKL Sponsored Repo Client (FICC)</v>
          </cell>
          <cell r="D5">
            <v>180</v>
          </cell>
          <cell r="E5">
            <v>185</v>
          </cell>
          <cell r="F5">
            <v>0.02</v>
          </cell>
          <cell r="G5">
            <v>0.2</v>
          </cell>
          <cell r="H5">
            <v>0</v>
          </cell>
          <cell r="I5">
            <v>0</v>
          </cell>
          <cell r="J5" t="str">
            <v>N</v>
          </cell>
        </row>
        <row r="6">
          <cell r="A6" t="str">
            <v>Deriv-01</v>
          </cell>
          <cell r="B6" t="str">
            <v>OTC derivatives</v>
          </cell>
          <cell r="C6" t="str">
            <v>MNO Asset Manager - FX fwd</v>
          </cell>
          <cell r="D6">
            <v>150</v>
          </cell>
          <cell r="E6">
            <v>90</v>
          </cell>
          <cell r="F6">
            <v>0.05</v>
          </cell>
          <cell r="G6">
            <v>0.5</v>
          </cell>
          <cell r="H6">
            <v>64.5</v>
          </cell>
          <cell r="I6">
            <v>32.25</v>
          </cell>
          <cell r="J6" t="str">
            <v>N</v>
          </cell>
        </row>
        <row r="7">
          <cell r="A7" t="str">
            <v>Deriv-02</v>
          </cell>
          <cell r="B7" t="str">
            <v>OTC derivatives</v>
          </cell>
          <cell r="C7" t="str">
            <v>PQR Asset Manager - FX swap</v>
          </cell>
          <cell r="D7">
            <v>130</v>
          </cell>
          <cell r="E7">
            <v>70</v>
          </cell>
          <cell r="F7">
            <v>0.05</v>
          </cell>
          <cell r="G7">
            <v>0.5</v>
          </cell>
          <cell r="H7">
            <v>63.5</v>
          </cell>
          <cell r="I7">
            <v>31.75</v>
          </cell>
          <cell r="J7" t="str">
            <v>N</v>
          </cell>
        </row>
        <row r="8">
          <cell r="A8" t="str">
            <v>Deriv-03</v>
          </cell>
          <cell r="B8" t="str">
            <v>OTC derivatives</v>
          </cell>
          <cell r="C8" t="str">
            <v>STU Pension Fund - IR swap</v>
          </cell>
          <cell r="D8">
            <v>95</v>
          </cell>
          <cell r="E8">
            <v>40</v>
          </cell>
          <cell r="F8">
            <v>0.05</v>
          </cell>
          <cell r="G8">
            <v>0.5</v>
          </cell>
          <cell r="H8">
            <v>57</v>
          </cell>
          <cell r="I8">
            <v>28.5</v>
          </cell>
          <cell r="J8" t="str">
            <v>N</v>
          </cell>
        </row>
        <row r="9">
          <cell r="A9" t="str">
            <v>Deriv-04</v>
          </cell>
          <cell r="B9" t="str">
            <v>OTC derivatives</v>
          </cell>
          <cell r="C9" t="str">
            <v>VWX Sovereign Fund - FX fwd</v>
          </cell>
          <cell r="D9">
            <v>80</v>
          </cell>
          <cell r="E9">
            <v>45</v>
          </cell>
          <cell r="F9">
            <v>0.05</v>
          </cell>
          <cell r="G9">
            <v>0.2</v>
          </cell>
          <cell r="H9">
            <v>37.25</v>
          </cell>
          <cell r="I9">
            <v>7.45</v>
          </cell>
          <cell r="J9" t="str">
            <v>N</v>
          </cell>
        </row>
        <row r="10">
          <cell r="A10" t="str">
            <v>Loan-01</v>
          </cell>
          <cell r="B10" t="str">
            <v>Loans</v>
          </cell>
          <cell r="C10" t="str">
            <v>YZ Corp</v>
          </cell>
          <cell r="D10">
            <v>60</v>
          </cell>
          <cell r="E10">
            <v>20</v>
          </cell>
          <cell r="F10">
            <v>0.1</v>
          </cell>
          <cell r="G10">
            <v>1</v>
          </cell>
          <cell r="H10">
            <v>42</v>
          </cell>
          <cell r="I10">
            <v>42</v>
          </cell>
          <cell r="J10" t="str">
            <v>N</v>
          </cell>
        </row>
        <row r="11">
          <cell r="A11" t="str">
            <v>Loan-02</v>
          </cell>
          <cell r="B11" t="str">
            <v>Loans</v>
          </cell>
          <cell r="C11" t="str">
            <v>12 Corp</v>
          </cell>
          <cell r="D11">
            <v>45</v>
          </cell>
          <cell r="E11">
            <v>15</v>
          </cell>
          <cell r="F11">
            <v>0.1</v>
          </cell>
          <cell r="G11">
            <v>1</v>
          </cell>
          <cell r="H11">
            <v>31.5</v>
          </cell>
          <cell r="I11">
            <v>31.5</v>
          </cell>
          <cell r="J11" t="str">
            <v>N</v>
          </cell>
        </row>
        <row r="12">
          <cell r="A12" t="str">
            <v>Loan-03</v>
          </cell>
          <cell r="B12" t="str">
            <v>Loans</v>
          </cell>
          <cell r="C12" t="str">
            <v>34 Real Estate LLC</v>
          </cell>
          <cell r="D12">
            <v>35</v>
          </cell>
          <cell r="E12">
            <v>10</v>
          </cell>
          <cell r="F12">
            <v>0.1</v>
          </cell>
          <cell r="G12">
            <v>1</v>
          </cell>
          <cell r="H12">
            <v>26</v>
          </cell>
          <cell r="I12">
            <v>26</v>
          </cell>
          <cell r="J12" t="str">
            <v>N</v>
          </cell>
        </row>
        <row r="13">
          <cell r="A13" t="str">
            <v>Sec-01</v>
          </cell>
          <cell r="B13" t="str">
            <v>Securitization</v>
          </cell>
          <cell r="C13" t="str">
            <v>56 ABS Tranche</v>
          </cell>
          <cell r="D13">
            <v>25</v>
          </cell>
          <cell r="E13">
            <v>5</v>
          </cell>
          <cell r="F13">
            <v>0.03</v>
          </cell>
          <cell r="G13">
            <v>0.75</v>
          </cell>
          <cell r="H13">
            <v>20.149999999999999</v>
          </cell>
          <cell r="I13">
            <v>15.112499999999999</v>
          </cell>
          <cell r="J13" t="str">
            <v>Y</v>
          </cell>
        </row>
        <row r="14">
          <cell r="A14" t="str">
            <v>Sec-02</v>
          </cell>
          <cell r="B14" t="str">
            <v>Securitization</v>
          </cell>
          <cell r="C14" t="str">
            <v>78 ABS Tranche</v>
          </cell>
          <cell r="D14">
            <v>20</v>
          </cell>
          <cell r="E14">
            <v>4</v>
          </cell>
          <cell r="F14">
            <v>0.03</v>
          </cell>
          <cell r="G14">
            <v>0.75</v>
          </cell>
          <cell r="H14">
            <v>16.12</v>
          </cell>
          <cell r="I14">
            <v>12.09</v>
          </cell>
          <cell r="J14" t="str">
            <v>Y</v>
          </cell>
        </row>
        <row r="15">
          <cell r="A15" t="str">
            <v>Indem-01</v>
          </cell>
          <cell r="B15" t="str">
            <v>Indemnified securities financing</v>
          </cell>
          <cell r="C15" t="str">
            <v>910 Agency Lending Client</v>
          </cell>
          <cell r="D15">
            <v>300</v>
          </cell>
          <cell r="E15">
            <v>315</v>
          </cell>
          <cell r="F15">
            <v>0.02</v>
          </cell>
          <cell r="G15">
            <v>0.2</v>
          </cell>
          <cell r="H15">
            <v>0</v>
          </cell>
          <cell r="I15">
            <v>0</v>
          </cell>
          <cell r="J15" t="str">
            <v>Y</v>
          </cell>
        </row>
        <row r="16">
          <cell r="A16" t="str">
            <v>Indem-02</v>
          </cell>
          <cell r="B16" t="str">
            <v>Indemnified securities financing</v>
          </cell>
          <cell r="C16" t="str">
            <v>11 Agency Lending Client</v>
          </cell>
          <cell r="D16">
            <v>220</v>
          </cell>
          <cell r="E16">
            <v>231</v>
          </cell>
          <cell r="F16">
            <v>0.02</v>
          </cell>
          <cell r="G16">
            <v>0.2</v>
          </cell>
          <cell r="H16">
            <v>0</v>
          </cell>
          <cell r="I16">
            <v>0</v>
          </cell>
          <cell r="J16" t="str">
            <v>Y</v>
          </cell>
        </row>
        <row r="17">
          <cell r="A17" t="str">
            <v>Indem-03</v>
          </cell>
          <cell r="B17" t="str">
            <v>Indemnified securities financing</v>
          </cell>
          <cell r="C17" t="str">
            <v>12 Hedge Fund (borrower)</v>
          </cell>
          <cell r="D17">
            <v>150</v>
          </cell>
          <cell r="E17">
            <v>158</v>
          </cell>
          <cell r="F17">
            <v>0.02</v>
          </cell>
          <cell r="G17">
            <v>0.2</v>
          </cell>
          <cell r="H17">
            <v>0</v>
          </cell>
          <cell r="I17">
            <v>0</v>
          </cell>
          <cell r="J17" t="str">
            <v>Y</v>
          </cell>
        </row>
      </sheetData>
      <sheetData sheetId="2"/>
      <sheetData sheetId="3">
        <row r="10">
          <cell r="A10" t="str">
            <v>Repo-01</v>
          </cell>
          <cell r="B10" t="str">
            <v>Repo-style transactions</v>
          </cell>
          <cell r="C10" t="str">
            <v>ABC Broker-Dealer</v>
          </cell>
          <cell r="D10">
            <v>420</v>
          </cell>
          <cell r="E10">
            <v>435</v>
          </cell>
          <cell r="F10">
            <v>7.0000000000000007E-2</v>
          </cell>
          <cell r="G10">
            <v>0.30000000000000004</v>
          </cell>
          <cell r="H10">
            <v>15.450000000000045</v>
          </cell>
          <cell r="I10">
            <v>4.635000000000014</v>
          </cell>
        </row>
        <row r="11">
          <cell r="A11" t="str">
            <v>Repo-02</v>
          </cell>
          <cell r="B11" t="str">
            <v>Repo-style transactions</v>
          </cell>
          <cell r="C11" t="str">
            <v>DEF Broker-Dealer</v>
          </cell>
          <cell r="D11">
            <v>310</v>
          </cell>
          <cell r="E11">
            <v>318</v>
          </cell>
          <cell r="F11">
            <v>7.0000000000000007E-2</v>
          </cell>
          <cell r="G11">
            <v>0.30000000000000004</v>
          </cell>
          <cell r="H11">
            <v>14.260000000000048</v>
          </cell>
          <cell r="I11">
            <v>4.2780000000000147</v>
          </cell>
        </row>
        <row r="12">
          <cell r="A12" t="str">
            <v>Repo-03</v>
          </cell>
          <cell r="B12" t="str">
            <v>Repo-style transactions</v>
          </cell>
          <cell r="C12" t="str">
            <v>GHI Sponsored Repo Client (FICC)</v>
          </cell>
          <cell r="D12">
            <v>260</v>
          </cell>
          <cell r="E12">
            <v>268</v>
          </cell>
          <cell r="F12">
            <v>7.0000000000000007E-2</v>
          </cell>
          <cell r="G12">
            <v>0.30000000000000004</v>
          </cell>
          <cell r="H12">
            <v>10.760000000000019</v>
          </cell>
          <cell r="I12">
            <v>3.2280000000000064</v>
          </cell>
        </row>
        <row r="13">
          <cell r="A13" t="str">
            <v>Repo-04</v>
          </cell>
          <cell r="B13" t="str">
            <v>Repo-style transactions</v>
          </cell>
          <cell r="C13" t="str">
            <v>JKL Sponsored Repo Client (FICC)</v>
          </cell>
          <cell r="D13">
            <v>180</v>
          </cell>
          <cell r="E13">
            <v>185</v>
          </cell>
          <cell r="F13">
            <v>7.0000000000000007E-2</v>
          </cell>
          <cell r="G13">
            <v>0.30000000000000004</v>
          </cell>
          <cell r="H13">
            <v>7.9500000000000171</v>
          </cell>
          <cell r="I13">
            <v>2.3850000000000056</v>
          </cell>
        </row>
        <row r="14">
          <cell r="A14" t="str">
            <v>Deriv-01</v>
          </cell>
          <cell r="B14" t="str">
            <v>OTC derivatives</v>
          </cell>
          <cell r="C14" t="str">
            <v>MNO Asset Manager - FX fwd</v>
          </cell>
          <cell r="D14">
            <v>150</v>
          </cell>
          <cell r="E14">
            <v>90</v>
          </cell>
          <cell r="F14">
            <v>0.1</v>
          </cell>
          <cell r="G14">
            <v>0.6</v>
          </cell>
          <cell r="H14">
            <v>69</v>
          </cell>
          <cell r="I14">
            <v>41.4</v>
          </cell>
        </row>
        <row r="15">
          <cell r="A15" t="str">
            <v>Deriv-02</v>
          </cell>
          <cell r="B15" t="str">
            <v>OTC derivatives</v>
          </cell>
          <cell r="C15" t="str">
            <v>PQR Asset Manager - FX swap</v>
          </cell>
          <cell r="D15">
            <v>130</v>
          </cell>
          <cell r="E15">
            <v>70</v>
          </cell>
          <cell r="F15">
            <v>0.1</v>
          </cell>
          <cell r="G15">
            <v>0.6</v>
          </cell>
          <cell r="H15">
            <v>67</v>
          </cell>
          <cell r="I15">
            <v>40.199999999999996</v>
          </cell>
        </row>
        <row r="16">
          <cell r="A16" t="str">
            <v>Deriv-03</v>
          </cell>
          <cell r="B16" t="str">
            <v>OTC derivatives</v>
          </cell>
          <cell r="C16" t="str">
            <v>STU Pension Fund - IR swap</v>
          </cell>
          <cell r="D16">
            <v>95</v>
          </cell>
          <cell r="E16">
            <v>40</v>
          </cell>
          <cell r="F16">
            <v>0.1</v>
          </cell>
          <cell r="G16">
            <v>0.6</v>
          </cell>
          <cell r="H16">
            <v>59</v>
          </cell>
          <cell r="I16">
            <v>35.4</v>
          </cell>
        </row>
        <row r="17">
          <cell r="A17" t="str">
            <v>Deriv-04</v>
          </cell>
          <cell r="B17" t="str">
            <v>OTC derivatives</v>
          </cell>
          <cell r="C17" t="str">
            <v>VWX Sovereign Fund - FX fwd</v>
          </cell>
          <cell r="D17">
            <v>80</v>
          </cell>
          <cell r="E17">
            <v>45</v>
          </cell>
          <cell r="F17">
            <v>0.1</v>
          </cell>
          <cell r="G17">
            <v>0.30000000000000004</v>
          </cell>
          <cell r="H17">
            <v>39.5</v>
          </cell>
          <cell r="I17">
            <v>11.850000000000001</v>
          </cell>
        </row>
        <row r="18">
          <cell r="A18" t="str">
            <v>Loan-01</v>
          </cell>
          <cell r="B18" t="str">
            <v>Loans</v>
          </cell>
          <cell r="C18" t="str">
            <v>YZ Corp</v>
          </cell>
          <cell r="D18">
            <v>60</v>
          </cell>
          <cell r="E18">
            <v>20</v>
          </cell>
          <cell r="F18">
            <v>0.15000000000000002</v>
          </cell>
          <cell r="G18">
            <v>1</v>
          </cell>
          <cell r="H18">
            <v>43</v>
          </cell>
          <cell r="I18">
            <v>43</v>
          </cell>
        </row>
        <row r="19">
          <cell r="A19" t="str">
            <v>Loan-02</v>
          </cell>
          <cell r="B19" t="str">
            <v>Loans</v>
          </cell>
          <cell r="C19" t="str">
            <v>12 Corp</v>
          </cell>
          <cell r="D19">
            <v>45</v>
          </cell>
          <cell r="E19">
            <v>15</v>
          </cell>
          <cell r="F19">
            <v>0.15000000000000002</v>
          </cell>
          <cell r="G19">
            <v>1</v>
          </cell>
          <cell r="H19">
            <v>32.25</v>
          </cell>
          <cell r="I19">
            <v>32.25</v>
          </cell>
        </row>
        <row r="20">
          <cell r="A20" t="str">
            <v>Loan-03</v>
          </cell>
          <cell r="B20" t="str">
            <v>Loans</v>
          </cell>
          <cell r="C20" t="str">
            <v>34 Real Estate LLC</v>
          </cell>
          <cell r="D20">
            <v>35</v>
          </cell>
          <cell r="E20">
            <v>10</v>
          </cell>
          <cell r="F20">
            <v>0.15000000000000002</v>
          </cell>
          <cell r="G20">
            <v>1</v>
          </cell>
          <cell r="H20">
            <v>26.5</v>
          </cell>
          <cell r="I20">
            <v>26.5</v>
          </cell>
        </row>
        <row r="21">
          <cell r="A21" t="str">
            <v>Sec-01</v>
          </cell>
          <cell r="B21" t="str">
            <v>Securitization</v>
          </cell>
          <cell r="C21" t="str">
            <v>56 ABS Tranche</v>
          </cell>
          <cell r="D21">
            <v>25</v>
          </cell>
          <cell r="E21">
            <v>2.5</v>
          </cell>
          <cell r="F21">
            <v>0.08</v>
          </cell>
          <cell r="G21">
            <v>0.85</v>
          </cell>
          <cell r="H21">
            <v>22.7</v>
          </cell>
          <cell r="I21">
            <v>19.294999999999998</v>
          </cell>
        </row>
        <row r="22">
          <cell r="A22" t="str">
            <v>Sec-02</v>
          </cell>
          <cell r="B22" t="str">
            <v>Securitization</v>
          </cell>
          <cell r="C22" t="str">
            <v>78 ABS Tranche</v>
          </cell>
          <cell r="D22">
            <v>20</v>
          </cell>
          <cell r="E22">
            <v>2</v>
          </cell>
          <cell r="F22">
            <v>0.08</v>
          </cell>
          <cell r="G22">
            <v>0.85</v>
          </cell>
          <cell r="H22">
            <v>18.16</v>
          </cell>
          <cell r="I22">
            <v>15.436</v>
          </cell>
        </row>
        <row r="23">
          <cell r="A23" t="str">
            <v>Indem-01</v>
          </cell>
          <cell r="B23" t="str">
            <v>Indemnified securities financing</v>
          </cell>
          <cell r="C23" t="str">
            <v>910 Agency Lending Client</v>
          </cell>
          <cell r="D23">
            <v>300</v>
          </cell>
          <cell r="E23">
            <v>157.5</v>
          </cell>
          <cell r="F23">
            <v>7.0000000000000007E-2</v>
          </cell>
          <cell r="G23">
            <v>0.30000000000000004</v>
          </cell>
          <cell r="H23">
            <v>153.52500000000001</v>
          </cell>
          <cell r="I23">
            <v>46.057500000000012</v>
          </cell>
        </row>
        <row r="24">
          <cell r="A24" t="str">
            <v>Indem-02</v>
          </cell>
          <cell r="B24" t="str">
            <v>Indemnified securities financing</v>
          </cell>
          <cell r="C24" t="str">
            <v>11 Agency Lending Client</v>
          </cell>
          <cell r="D24">
            <v>220</v>
          </cell>
          <cell r="E24">
            <v>115.5</v>
          </cell>
          <cell r="F24">
            <v>7.0000000000000007E-2</v>
          </cell>
          <cell r="G24">
            <v>0.30000000000000004</v>
          </cell>
          <cell r="H24">
            <v>112.58500000000001</v>
          </cell>
          <cell r="I24">
            <v>33.775500000000008</v>
          </cell>
        </row>
        <row r="25">
          <cell r="A25" t="str">
            <v>Indem-03</v>
          </cell>
          <cell r="B25" t="str">
            <v>Indemnified securities financing</v>
          </cell>
          <cell r="C25" t="str">
            <v>12 Hedge Fund (borrower)</v>
          </cell>
          <cell r="D25">
            <v>150</v>
          </cell>
          <cell r="E25">
            <v>79</v>
          </cell>
          <cell r="F25">
            <v>7.0000000000000007E-2</v>
          </cell>
          <cell r="G25">
            <v>0.30000000000000004</v>
          </cell>
          <cell r="H25">
            <v>76.53</v>
          </cell>
          <cell r="I25">
            <v>22.959000000000003</v>
          </cell>
        </row>
      </sheetData>
      <sheetData sheetId="4">
        <row r="21">
          <cell r="B21">
            <v>58.5</v>
          </cell>
        </row>
        <row r="22">
          <cell r="B22">
            <v>22.5</v>
          </cell>
        </row>
        <row r="26">
          <cell r="B26">
            <v>25.77</v>
          </cell>
        </row>
        <row r="30">
          <cell r="C30">
            <v>382.64900000000006</v>
          </cell>
        </row>
        <row r="31">
          <cell r="C31">
            <v>466.91900000000004</v>
          </cell>
        </row>
        <row r="32">
          <cell r="C32">
            <v>430.91900000000004</v>
          </cell>
        </row>
        <row r="37">
          <cell r="D37">
            <v>5.7493943535720717E-2</v>
          </cell>
        </row>
        <row r="39">
          <cell r="D39">
            <v>4.7117380102330381E-2</v>
          </cell>
        </row>
        <row r="41">
          <cell r="D41">
            <v>5.1053678301490532E-2</v>
          </cell>
        </row>
      </sheetData>
      <sheetData sheetId="5">
        <row r="2">
          <cell r="B2" t="str">
            <v>Repo-style transactions</v>
          </cell>
          <cell r="D2" t="str">
            <v>Baseline</v>
          </cell>
          <cell r="J2">
            <v>0</v>
          </cell>
        </row>
        <row r="3">
          <cell r="B3" t="str">
            <v>Repo-style transactions</v>
          </cell>
          <cell r="D3" t="str">
            <v>Baseline</v>
          </cell>
          <cell r="J3">
            <v>0</v>
          </cell>
        </row>
        <row r="4">
          <cell r="B4" t="str">
            <v>Repo-style transactions</v>
          </cell>
          <cell r="D4" t="str">
            <v>Baseline</v>
          </cell>
          <cell r="J4">
            <v>0</v>
          </cell>
        </row>
        <row r="5">
          <cell r="B5" t="str">
            <v>Repo-style transactions</v>
          </cell>
          <cell r="D5" t="str">
            <v>Baseline</v>
          </cell>
          <cell r="J5">
            <v>0</v>
          </cell>
        </row>
        <row r="6">
          <cell r="B6" t="str">
            <v>OTC derivatives</v>
          </cell>
          <cell r="D6" t="str">
            <v>Baseline</v>
          </cell>
          <cell r="J6">
            <v>32.25</v>
          </cell>
        </row>
        <row r="7">
          <cell r="B7" t="str">
            <v>OTC derivatives</v>
          </cell>
          <cell r="D7" t="str">
            <v>Baseline</v>
          </cell>
          <cell r="J7">
            <v>31.75</v>
          </cell>
        </row>
        <row r="8">
          <cell r="B8" t="str">
            <v>OTC derivatives</v>
          </cell>
          <cell r="D8" t="str">
            <v>Baseline</v>
          </cell>
          <cell r="J8">
            <v>28.5</v>
          </cell>
        </row>
        <row r="9">
          <cell r="B9" t="str">
            <v>OTC derivatives</v>
          </cell>
          <cell r="D9" t="str">
            <v>Baseline</v>
          </cell>
          <cell r="J9">
            <v>7.45</v>
          </cell>
        </row>
        <row r="10">
          <cell r="B10" t="str">
            <v>Loans</v>
          </cell>
          <cell r="D10" t="str">
            <v>Baseline</v>
          </cell>
          <cell r="J10">
            <v>42</v>
          </cell>
        </row>
        <row r="11">
          <cell r="B11" t="str">
            <v>Loans</v>
          </cell>
          <cell r="D11" t="str">
            <v>Baseline</v>
          </cell>
          <cell r="J11">
            <v>31.5</v>
          </cell>
        </row>
        <row r="12">
          <cell r="B12" t="str">
            <v>Loans</v>
          </cell>
          <cell r="D12" t="str">
            <v>Baseline</v>
          </cell>
          <cell r="J12">
            <v>26</v>
          </cell>
        </row>
        <row r="13">
          <cell r="B13" t="str">
            <v>Securitization</v>
          </cell>
          <cell r="D13" t="str">
            <v>Baseline</v>
          </cell>
          <cell r="J13">
            <v>15.112499999999999</v>
          </cell>
        </row>
        <row r="14">
          <cell r="B14" t="str">
            <v>Securitization</v>
          </cell>
          <cell r="D14" t="str">
            <v>Baseline</v>
          </cell>
          <cell r="J14">
            <v>12.09</v>
          </cell>
        </row>
        <row r="15">
          <cell r="B15" t="str">
            <v>Indemnified securities financing</v>
          </cell>
          <cell r="D15" t="str">
            <v>Baseline</v>
          </cell>
          <cell r="J15">
            <v>0</v>
          </cell>
        </row>
        <row r="16">
          <cell r="B16" t="str">
            <v>Indemnified securities financing</v>
          </cell>
          <cell r="D16" t="str">
            <v>Baseline</v>
          </cell>
          <cell r="J16">
            <v>0</v>
          </cell>
        </row>
        <row r="17">
          <cell r="B17" t="str">
            <v>Indemnified securities financing</v>
          </cell>
          <cell r="D17" t="str">
            <v>Baseline</v>
          </cell>
          <cell r="J17">
            <v>0</v>
          </cell>
        </row>
        <row r="18">
          <cell r="B18" t="str">
            <v>Repo-style transactions</v>
          </cell>
          <cell r="D18" t="str">
            <v>Stressed</v>
          </cell>
          <cell r="J18">
            <v>4.635000000000014</v>
          </cell>
        </row>
        <row r="19">
          <cell r="B19" t="str">
            <v>Repo-style transactions</v>
          </cell>
          <cell r="D19" t="str">
            <v>Stressed</v>
          </cell>
          <cell r="J19">
            <v>4.2780000000000147</v>
          </cell>
        </row>
        <row r="20">
          <cell r="B20" t="str">
            <v>Repo-style transactions</v>
          </cell>
          <cell r="D20" t="str">
            <v>Stressed</v>
          </cell>
          <cell r="J20">
            <v>3.2280000000000064</v>
          </cell>
        </row>
        <row r="21">
          <cell r="B21" t="str">
            <v>Repo-style transactions</v>
          </cell>
          <cell r="D21" t="str">
            <v>Stressed</v>
          </cell>
          <cell r="J21">
            <v>2.3850000000000056</v>
          </cell>
        </row>
        <row r="22">
          <cell r="B22" t="str">
            <v>OTC derivatives</v>
          </cell>
          <cell r="D22" t="str">
            <v>Stressed</v>
          </cell>
          <cell r="J22">
            <v>41.4</v>
          </cell>
        </row>
        <row r="23">
          <cell r="B23" t="str">
            <v>OTC derivatives</v>
          </cell>
          <cell r="D23" t="str">
            <v>Stressed</v>
          </cell>
          <cell r="J23">
            <v>40.199999999999996</v>
          </cell>
        </row>
        <row r="24">
          <cell r="B24" t="str">
            <v>OTC derivatives</v>
          </cell>
          <cell r="D24" t="str">
            <v>Stressed</v>
          </cell>
          <cell r="J24">
            <v>35.4</v>
          </cell>
        </row>
        <row r="25">
          <cell r="B25" t="str">
            <v>OTC derivatives</v>
          </cell>
          <cell r="D25" t="str">
            <v>Stressed</v>
          </cell>
          <cell r="J25">
            <v>11.850000000000001</v>
          </cell>
        </row>
        <row r="26">
          <cell r="B26" t="str">
            <v>Loans</v>
          </cell>
          <cell r="D26" t="str">
            <v>Stressed</v>
          </cell>
          <cell r="J26">
            <v>43</v>
          </cell>
        </row>
        <row r="27">
          <cell r="B27" t="str">
            <v>Loans</v>
          </cell>
          <cell r="D27" t="str">
            <v>Stressed</v>
          </cell>
          <cell r="J27">
            <v>32.25</v>
          </cell>
        </row>
        <row r="28">
          <cell r="B28" t="str">
            <v>Loans</v>
          </cell>
          <cell r="D28" t="str">
            <v>Stressed</v>
          </cell>
          <cell r="J28">
            <v>26.5</v>
          </cell>
        </row>
        <row r="29">
          <cell r="B29" t="str">
            <v>Securitization</v>
          </cell>
          <cell r="D29" t="str">
            <v>Stressed</v>
          </cell>
          <cell r="J29">
            <v>19.294999999999998</v>
          </cell>
        </row>
        <row r="30">
          <cell r="B30" t="str">
            <v>Securitization</v>
          </cell>
          <cell r="D30" t="str">
            <v>Stressed</v>
          </cell>
          <cell r="J30">
            <v>15.436</v>
          </cell>
        </row>
        <row r="31">
          <cell r="B31" t="str">
            <v>Indemnified securities financing</v>
          </cell>
          <cell r="D31" t="str">
            <v>Stressed</v>
          </cell>
          <cell r="J31">
            <v>46.057500000000012</v>
          </cell>
        </row>
        <row r="32">
          <cell r="B32" t="str">
            <v>Indemnified securities financing</v>
          </cell>
          <cell r="D32" t="str">
            <v>Stressed</v>
          </cell>
          <cell r="J32">
            <v>33.775500000000008</v>
          </cell>
        </row>
        <row r="33">
          <cell r="B33" t="str">
            <v>Indemnified securities financing</v>
          </cell>
          <cell r="D33" t="str">
            <v>Stressed</v>
          </cell>
          <cell r="J33">
            <v>22.959000000000003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203.q4cdn.com/888565246/files/doc_financials/2026/q2/STT-2Q26-Earnings-Release-Addendum-vFinal.pdf" TargetMode="External"/><Relationship Id="rId2" Type="http://schemas.openxmlformats.org/officeDocument/2006/relationships/hyperlink" Target="https://s203.q4cdn.com/888565246/files/doc_downloads/Dodd_Frank/2025/2025-Federal-Reserve-Stress-Test-Disclosure-vfinal.pdf" TargetMode="External"/><Relationship Id="rId1" Type="http://schemas.openxmlformats.org/officeDocument/2006/relationships/hyperlink" Target="https://www.sec.gov/Archives/edgar/data/0000093751/000009375126000397/stt-20260630.htm" TargetMode="External"/><Relationship Id="rId4" Type="http://schemas.openxmlformats.org/officeDocument/2006/relationships/hyperlink" Target="https://www.federalreserve.gov/newsevents/pressreleases/bcreg20260319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zoomScaleNormal="100" workbookViewId="0">
      <selection activeCell="A44" sqref="A44"/>
    </sheetView>
  </sheetViews>
  <sheetFormatPr baseColWidth="10" defaultColWidth="8.6640625" defaultRowHeight="16" x14ac:dyDescent="0.2"/>
  <cols>
    <col min="1" max="1" width="100" style="5" customWidth="1"/>
    <col min="2" max="2" width="55" style="5" customWidth="1"/>
    <col min="3" max="16384" width="8.6640625" style="5"/>
  </cols>
  <sheetData>
    <row r="1" spans="1:1" x14ac:dyDescent="0.2">
      <c r="A1" s="8" t="s">
        <v>158</v>
      </c>
    </row>
    <row r="3" spans="1:1" x14ac:dyDescent="0.2">
      <c r="A3" s="9" t="s">
        <v>159</v>
      </c>
    </row>
    <row r="4" spans="1:1" x14ac:dyDescent="0.2">
      <c r="A4" s="5" t="s">
        <v>0</v>
      </c>
    </row>
    <row r="5" spans="1:1" x14ac:dyDescent="0.2">
      <c r="A5" s="5" t="s">
        <v>1</v>
      </c>
    </row>
    <row r="6" spans="1:1" x14ac:dyDescent="0.2">
      <c r="A6" s="5" t="s">
        <v>2</v>
      </c>
    </row>
    <row r="7" spans="1:1" x14ac:dyDescent="0.2">
      <c r="A7" s="5" t="s">
        <v>149</v>
      </c>
    </row>
    <row r="8" spans="1:1" x14ac:dyDescent="0.2">
      <c r="A8" s="5" t="s">
        <v>150</v>
      </c>
    </row>
    <row r="10" spans="1:1" x14ac:dyDescent="0.2">
      <c r="A10" s="9" t="s">
        <v>162</v>
      </c>
    </row>
    <row r="11" spans="1:1" x14ac:dyDescent="0.2">
      <c r="A11" s="5" t="s">
        <v>3</v>
      </c>
    </row>
    <row r="12" spans="1:1" x14ac:dyDescent="0.2">
      <c r="A12" s="5" t="s">
        <v>4</v>
      </c>
    </row>
    <row r="13" spans="1:1" x14ac:dyDescent="0.2">
      <c r="A13" s="5" t="s">
        <v>5</v>
      </c>
    </row>
    <row r="14" spans="1:1" x14ac:dyDescent="0.2">
      <c r="A14" s="5" t="s">
        <v>6</v>
      </c>
    </row>
    <row r="15" spans="1:1" x14ac:dyDescent="0.2">
      <c r="A15" s="5" t="s">
        <v>7</v>
      </c>
    </row>
    <row r="16" spans="1:1" x14ac:dyDescent="0.2">
      <c r="A16" s="5" t="s">
        <v>8</v>
      </c>
    </row>
    <row r="17" spans="1:2" x14ac:dyDescent="0.2">
      <c r="A17" s="5" t="s">
        <v>9</v>
      </c>
    </row>
    <row r="18" spans="1:2" x14ac:dyDescent="0.2">
      <c r="A18" s="5" t="s">
        <v>10</v>
      </c>
    </row>
    <row r="20" spans="1:2" x14ac:dyDescent="0.2">
      <c r="A20" s="9" t="s">
        <v>160</v>
      </c>
    </row>
    <row r="21" spans="1:2" x14ac:dyDescent="0.2">
      <c r="A21" s="5" t="s">
        <v>151</v>
      </c>
    </row>
    <row r="22" spans="1:2" x14ac:dyDescent="0.2">
      <c r="A22" s="5" t="s">
        <v>152</v>
      </c>
    </row>
    <row r="23" spans="1:2" x14ac:dyDescent="0.2">
      <c r="A23" s="5" t="s">
        <v>11</v>
      </c>
    </row>
    <row r="24" spans="1:2" x14ac:dyDescent="0.2">
      <c r="A24" s="5" t="s">
        <v>12</v>
      </c>
    </row>
    <row r="25" spans="1:2" x14ac:dyDescent="0.2">
      <c r="A25" s="5" t="s">
        <v>153</v>
      </c>
    </row>
    <row r="26" spans="1:2" x14ac:dyDescent="0.2">
      <c r="A26" s="5" t="s">
        <v>13</v>
      </c>
    </row>
    <row r="27" spans="1:2" x14ac:dyDescent="0.2">
      <c r="A27" s="5" t="s">
        <v>14</v>
      </c>
    </row>
    <row r="29" spans="1:2" x14ac:dyDescent="0.2">
      <c r="A29" s="9" t="s">
        <v>161</v>
      </c>
      <c r="B29" s="4" t="s">
        <v>15</v>
      </c>
    </row>
    <row r="30" spans="1:2" ht="30" customHeight="1" x14ac:dyDescent="0.2">
      <c r="A30" s="6" t="s">
        <v>16</v>
      </c>
      <c r="B30" s="7" t="s">
        <v>17</v>
      </c>
    </row>
    <row r="31" spans="1:2" ht="30" customHeight="1" x14ac:dyDescent="0.2">
      <c r="A31" s="6" t="s">
        <v>18</v>
      </c>
      <c r="B31" s="7" t="s">
        <v>19</v>
      </c>
    </row>
    <row r="32" spans="1:2" ht="30" customHeight="1" x14ac:dyDescent="0.2">
      <c r="A32" s="6" t="s">
        <v>20</v>
      </c>
      <c r="B32" s="7" t="s">
        <v>21</v>
      </c>
    </row>
    <row r="33" spans="1:2" ht="30" customHeight="1" x14ac:dyDescent="0.2">
      <c r="A33" s="6" t="s">
        <v>22</v>
      </c>
      <c r="B33" s="7" t="s">
        <v>23</v>
      </c>
    </row>
    <row r="35" spans="1:2" x14ac:dyDescent="0.2">
      <c r="A35" s="9" t="s">
        <v>24</v>
      </c>
    </row>
    <row r="36" spans="1:2" x14ac:dyDescent="0.2">
      <c r="A36" s="5" t="s">
        <v>154</v>
      </c>
    </row>
    <row r="37" spans="1:2" x14ac:dyDescent="0.2">
      <c r="A37" s="5" t="s">
        <v>155</v>
      </c>
    </row>
    <row r="38" spans="1:2" x14ac:dyDescent="0.2">
      <c r="A38" s="5" t="s">
        <v>156</v>
      </c>
    </row>
    <row r="39" spans="1:2" x14ac:dyDescent="0.2">
      <c r="A39" s="5" t="s">
        <v>157</v>
      </c>
    </row>
  </sheetData>
  <hyperlinks>
    <hyperlink ref="B30" r:id="rId1" xr:uid="{00000000-0004-0000-0000-000000000000}"/>
    <hyperlink ref="B31" r:id="rId2" xr:uid="{00000000-0004-0000-0000-000001000000}"/>
    <hyperlink ref="B32" r:id="rId3" xr:uid="{00000000-0004-0000-0000-000002000000}"/>
    <hyperlink ref="B33" r:id="rId4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zoomScaleNormal="100" workbookViewId="0">
      <selection activeCell="I42" sqref="I42"/>
    </sheetView>
  </sheetViews>
  <sheetFormatPr baseColWidth="10" defaultColWidth="8.6640625" defaultRowHeight="14" x14ac:dyDescent="0.15"/>
  <cols>
    <col min="1" max="1" width="10" style="3" customWidth="1"/>
    <col min="2" max="2" width="38.6640625" style="3" customWidth="1"/>
    <col min="3" max="3" width="30.83203125" style="3" customWidth="1"/>
    <col min="4" max="4" width="15.6640625" style="3" customWidth="1"/>
    <col min="5" max="5" width="14" style="3" customWidth="1"/>
    <col min="6" max="6" width="15.1640625" style="3" customWidth="1"/>
    <col min="7" max="7" width="12" style="3" customWidth="1"/>
    <col min="8" max="8" width="21.33203125" style="3" customWidth="1"/>
    <col min="9" max="9" width="24.33203125" style="3" customWidth="1"/>
    <col min="10" max="10" width="14" style="3" customWidth="1"/>
    <col min="11" max="16384" width="8.6640625" style="3"/>
  </cols>
  <sheetData>
    <row r="1" spans="1:10" s="31" customFormat="1" ht="30" x14ac:dyDescent="0.15">
      <c r="A1" s="30" t="s">
        <v>25</v>
      </c>
      <c r="B1" s="30" t="s">
        <v>26</v>
      </c>
      <c r="C1" s="30" t="s">
        <v>27</v>
      </c>
      <c r="D1" s="30" t="s">
        <v>28</v>
      </c>
      <c r="E1" s="30" t="s">
        <v>29</v>
      </c>
      <c r="F1" s="30" t="s">
        <v>30</v>
      </c>
      <c r="G1" s="30" t="s">
        <v>31</v>
      </c>
      <c r="H1" s="30" t="s">
        <v>32</v>
      </c>
      <c r="I1" s="30" t="s">
        <v>33</v>
      </c>
      <c r="J1" s="30" t="s">
        <v>183</v>
      </c>
    </row>
    <row r="2" spans="1:10" x14ac:dyDescent="0.15">
      <c r="A2" s="11" t="s">
        <v>34</v>
      </c>
      <c r="B2" s="11" t="s">
        <v>35</v>
      </c>
      <c r="C2" s="11" t="s">
        <v>36</v>
      </c>
      <c r="D2" s="62">
        <v>420</v>
      </c>
      <c r="E2" s="62">
        <v>435</v>
      </c>
      <c r="F2" s="12">
        <v>0.02</v>
      </c>
      <c r="G2" s="12">
        <v>0.2</v>
      </c>
      <c r="H2" s="13">
        <f t="shared" ref="H2:H17" si="0">MAX(0,D2-E2*(1-F2))</f>
        <v>0</v>
      </c>
      <c r="I2" s="61">
        <f t="shared" ref="I2:I17" si="1">H2*G2</f>
        <v>0</v>
      </c>
      <c r="J2" s="14" t="s">
        <v>37</v>
      </c>
    </row>
    <row r="3" spans="1:10" x14ac:dyDescent="0.15">
      <c r="A3" s="11" t="s">
        <v>38</v>
      </c>
      <c r="B3" s="11" t="s">
        <v>35</v>
      </c>
      <c r="C3" s="11" t="s">
        <v>39</v>
      </c>
      <c r="D3" s="62">
        <v>310</v>
      </c>
      <c r="E3" s="62">
        <v>318</v>
      </c>
      <c r="F3" s="12">
        <v>0.02</v>
      </c>
      <c r="G3" s="12">
        <v>0.2</v>
      </c>
      <c r="H3" s="13">
        <f t="shared" si="0"/>
        <v>0</v>
      </c>
      <c r="I3" s="61">
        <f t="shared" si="1"/>
        <v>0</v>
      </c>
      <c r="J3" s="14" t="s">
        <v>37</v>
      </c>
    </row>
    <row r="4" spans="1:10" x14ac:dyDescent="0.15">
      <c r="A4" s="11" t="s">
        <v>40</v>
      </c>
      <c r="B4" s="11" t="s">
        <v>35</v>
      </c>
      <c r="C4" s="11" t="s">
        <v>41</v>
      </c>
      <c r="D4" s="62">
        <v>260</v>
      </c>
      <c r="E4" s="62">
        <v>268</v>
      </c>
      <c r="F4" s="12">
        <v>0.02</v>
      </c>
      <c r="G4" s="12">
        <v>0.2</v>
      </c>
      <c r="H4" s="13">
        <f t="shared" si="0"/>
        <v>0</v>
      </c>
      <c r="I4" s="61">
        <f t="shared" si="1"/>
        <v>0</v>
      </c>
      <c r="J4" s="14" t="s">
        <v>37</v>
      </c>
    </row>
    <row r="5" spans="1:10" x14ac:dyDescent="0.15">
      <c r="A5" s="11" t="s">
        <v>42</v>
      </c>
      <c r="B5" s="11" t="s">
        <v>35</v>
      </c>
      <c r="C5" s="11" t="s">
        <v>43</v>
      </c>
      <c r="D5" s="62">
        <v>180</v>
      </c>
      <c r="E5" s="62">
        <v>185</v>
      </c>
      <c r="F5" s="12">
        <v>0.02</v>
      </c>
      <c r="G5" s="12">
        <v>0.2</v>
      </c>
      <c r="H5" s="13">
        <f t="shared" si="0"/>
        <v>0</v>
      </c>
      <c r="I5" s="61">
        <f t="shared" si="1"/>
        <v>0</v>
      </c>
      <c r="J5" s="14" t="s">
        <v>37</v>
      </c>
    </row>
    <row r="6" spans="1:10" x14ac:dyDescent="0.15">
      <c r="A6" s="11" t="s">
        <v>44</v>
      </c>
      <c r="B6" s="11" t="s">
        <v>45</v>
      </c>
      <c r="C6" s="11" t="s">
        <v>46</v>
      </c>
      <c r="D6" s="63">
        <v>150</v>
      </c>
      <c r="E6" s="63">
        <v>90</v>
      </c>
      <c r="F6" s="12">
        <v>0.05</v>
      </c>
      <c r="G6" s="12">
        <v>0.5</v>
      </c>
      <c r="H6" s="13">
        <f t="shared" si="0"/>
        <v>64.5</v>
      </c>
      <c r="I6" s="64">
        <f t="shared" si="1"/>
        <v>32.25</v>
      </c>
      <c r="J6" s="14" t="s">
        <v>37</v>
      </c>
    </row>
    <row r="7" spans="1:10" x14ac:dyDescent="0.15">
      <c r="A7" s="11" t="s">
        <v>47</v>
      </c>
      <c r="B7" s="11" t="s">
        <v>45</v>
      </c>
      <c r="C7" s="11" t="s">
        <v>48</v>
      </c>
      <c r="D7" s="63">
        <v>130</v>
      </c>
      <c r="E7" s="63">
        <v>70</v>
      </c>
      <c r="F7" s="12">
        <v>0.05</v>
      </c>
      <c r="G7" s="12">
        <v>0.5</v>
      </c>
      <c r="H7" s="13">
        <f t="shared" si="0"/>
        <v>63.5</v>
      </c>
      <c r="I7" s="64">
        <f t="shared" si="1"/>
        <v>31.75</v>
      </c>
      <c r="J7" s="14" t="s">
        <v>37</v>
      </c>
    </row>
    <row r="8" spans="1:10" x14ac:dyDescent="0.15">
      <c r="A8" s="11" t="s">
        <v>49</v>
      </c>
      <c r="B8" s="11" t="s">
        <v>45</v>
      </c>
      <c r="C8" s="11" t="s">
        <v>50</v>
      </c>
      <c r="D8" s="63">
        <v>95</v>
      </c>
      <c r="E8" s="63">
        <v>40</v>
      </c>
      <c r="F8" s="12">
        <v>0.05</v>
      </c>
      <c r="G8" s="12">
        <v>0.5</v>
      </c>
      <c r="H8" s="13">
        <f t="shared" si="0"/>
        <v>57</v>
      </c>
      <c r="I8" s="64">
        <f t="shared" si="1"/>
        <v>28.5</v>
      </c>
      <c r="J8" s="14" t="s">
        <v>37</v>
      </c>
    </row>
    <row r="9" spans="1:10" x14ac:dyDescent="0.15">
      <c r="A9" s="11" t="s">
        <v>51</v>
      </c>
      <c r="B9" s="11" t="s">
        <v>45</v>
      </c>
      <c r="C9" s="11" t="s">
        <v>52</v>
      </c>
      <c r="D9" s="63">
        <v>80</v>
      </c>
      <c r="E9" s="63">
        <v>45</v>
      </c>
      <c r="F9" s="12">
        <v>0.05</v>
      </c>
      <c r="G9" s="12">
        <v>0.2</v>
      </c>
      <c r="H9" s="13">
        <f t="shared" si="0"/>
        <v>37.25</v>
      </c>
      <c r="I9" s="64">
        <f t="shared" si="1"/>
        <v>7.45</v>
      </c>
      <c r="J9" s="14" t="s">
        <v>37</v>
      </c>
    </row>
    <row r="10" spans="1:10" x14ac:dyDescent="0.15">
      <c r="A10" s="11" t="s">
        <v>53</v>
      </c>
      <c r="B10" s="11" t="s">
        <v>54</v>
      </c>
      <c r="C10" s="11" t="s">
        <v>163</v>
      </c>
      <c r="D10" s="63">
        <v>60</v>
      </c>
      <c r="E10" s="63">
        <v>20</v>
      </c>
      <c r="F10" s="12">
        <v>0.1</v>
      </c>
      <c r="G10" s="12">
        <v>1</v>
      </c>
      <c r="H10" s="13">
        <f t="shared" si="0"/>
        <v>42</v>
      </c>
      <c r="I10" s="64">
        <f t="shared" si="1"/>
        <v>42</v>
      </c>
      <c r="J10" s="14" t="s">
        <v>37</v>
      </c>
    </row>
    <row r="11" spans="1:10" x14ac:dyDescent="0.15">
      <c r="A11" s="11" t="s">
        <v>55</v>
      </c>
      <c r="B11" s="11" t="s">
        <v>54</v>
      </c>
      <c r="C11" s="11" t="s">
        <v>164</v>
      </c>
      <c r="D11" s="63">
        <v>45</v>
      </c>
      <c r="E11" s="63">
        <v>15</v>
      </c>
      <c r="F11" s="12">
        <v>0.1</v>
      </c>
      <c r="G11" s="12">
        <v>1</v>
      </c>
      <c r="H11" s="13">
        <f t="shared" si="0"/>
        <v>31.5</v>
      </c>
      <c r="I11" s="64">
        <f t="shared" si="1"/>
        <v>31.5</v>
      </c>
      <c r="J11" s="14" t="s">
        <v>37</v>
      </c>
    </row>
    <row r="12" spans="1:10" x14ac:dyDescent="0.15">
      <c r="A12" s="11" t="s">
        <v>56</v>
      </c>
      <c r="B12" s="11" t="s">
        <v>54</v>
      </c>
      <c r="C12" s="11" t="s">
        <v>165</v>
      </c>
      <c r="D12" s="63">
        <v>35</v>
      </c>
      <c r="E12" s="63">
        <v>10</v>
      </c>
      <c r="F12" s="12">
        <v>0.1</v>
      </c>
      <c r="G12" s="12">
        <v>1</v>
      </c>
      <c r="H12" s="13">
        <f t="shared" si="0"/>
        <v>26</v>
      </c>
      <c r="I12" s="64">
        <f t="shared" si="1"/>
        <v>26</v>
      </c>
      <c r="J12" s="14" t="s">
        <v>37</v>
      </c>
    </row>
    <row r="13" spans="1:10" x14ac:dyDescent="0.15">
      <c r="A13" s="11" t="s">
        <v>57</v>
      </c>
      <c r="B13" s="11" t="s">
        <v>58</v>
      </c>
      <c r="C13" s="11" t="s">
        <v>166</v>
      </c>
      <c r="D13" s="63">
        <v>25</v>
      </c>
      <c r="E13" s="63">
        <v>5</v>
      </c>
      <c r="F13" s="12">
        <v>0.03</v>
      </c>
      <c r="G13" s="12">
        <v>0.75</v>
      </c>
      <c r="H13" s="13">
        <f t="shared" si="0"/>
        <v>20.149999999999999</v>
      </c>
      <c r="I13" s="64">
        <f t="shared" si="1"/>
        <v>15.112499999999999</v>
      </c>
      <c r="J13" s="14" t="s">
        <v>59</v>
      </c>
    </row>
    <row r="14" spans="1:10" x14ac:dyDescent="0.15">
      <c r="A14" s="11" t="s">
        <v>60</v>
      </c>
      <c r="B14" s="11" t="s">
        <v>58</v>
      </c>
      <c r="C14" s="11" t="s">
        <v>167</v>
      </c>
      <c r="D14" s="63">
        <v>20</v>
      </c>
      <c r="E14" s="63">
        <v>4</v>
      </c>
      <c r="F14" s="12">
        <v>0.03</v>
      </c>
      <c r="G14" s="12">
        <v>0.75</v>
      </c>
      <c r="H14" s="13">
        <f t="shared" si="0"/>
        <v>16.12</v>
      </c>
      <c r="I14" s="64">
        <f t="shared" si="1"/>
        <v>12.09</v>
      </c>
      <c r="J14" s="14" t="s">
        <v>59</v>
      </c>
    </row>
    <row r="15" spans="1:10" x14ac:dyDescent="0.15">
      <c r="A15" s="11" t="s">
        <v>61</v>
      </c>
      <c r="B15" s="11" t="s">
        <v>62</v>
      </c>
      <c r="C15" s="11" t="s">
        <v>168</v>
      </c>
      <c r="D15" s="62">
        <v>300</v>
      </c>
      <c r="E15" s="62">
        <v>315</v>
      </c>
      <c r="F15" s="12">
        <v>0.02</v>
      </c>
      <c r="G15" s="12">
        <v>0.2</v>
      </c>
      <c r="H15" s="13">
        <f t="shared" si="0"/>
        <v>0</v>
      </c>
      <c r="I15" s="61">
        <f t="shared" si="1"/>
        <v>0</v>
      </c>
      <c r="J15" s="14" t="s">
        <v>59</v>
      </c>
    </row>
    <row r="16" spans="1:10" x14ac:dyDescent="0.15">
      <c r="A16" s="11" t="s">
        <v>63</v>
      </c>
      <c r="B16" s="11" t="s">
        <v>62</v>
      </c>
      <c r="C16" s="11" t="s">
        <v>169</v>
      </c>
      <c r="D16" s="62">
        <v>220</v>
      </c>
      <c r="E16" s="62">
        <v>231</v>
      </c>
      <c r="F16" s="12">
        <v>0.02</v>
      </c>
      <c r="G16" s="12">
        <v>0.2</v>
      </c>
      <c r="H16" s="13">
        <f t="shared" si="0"/>
        <v>0</v>
      </c>
      <c r="I16" s="61">
        <f t="shared" si="1"/>
        <v>0</v>
      </c>
      <c r="J16" s="14" t="s">
        <v>59</v>
      </c>
    </row>
    <row r="17" spans="1:10" x14ac:dyDescent="0.15">
      <c r="A17" s="11" t="s">
        <v>64</v>
      </c>
      <c r="B17" s="11" t="s">
        <v>62</v>
      </c>
      <c r="C17" s="11" t="s">
        <v>170</v>
      </c>
      <c r="D17" s="62">
        <v>150</v>
      </c>
      <c r="E17" s="62">
        <v>158</v>
      </c>
      <c r="F17" s="12">
        <v>0.02</v>
      </c>
      <c r="G17" s="12">
        <v>0.2</v>
      </c>
      <c r="H17" s="13">
        <f t="shared" si="0"/>
        <v>0</v>
      </c>
      <c r="I17" s="61">
        <f t="shared" si="1"/>
        <v>0</v>
      </c>
      <c r="J17" s="14" t="s">
        <v>59</v>
      </c>
    </row>
    <row r="18" spans="1:10" x14ac:dyDescent="0.15">
      <c r="A18" s="21"/>
      <c r="B18" s="21"/>
      <c r="C18" s="21"/>
      <c r="D18" s="22"/>
      <c r="E18" s="22"/>
      <c r="F18" s="23"/>
      <c r="G18" s="23"/>
      <c r="H18" s="29" t="str">
        <f ca="1">_xlfn.FORMULATEXT(H2)</f>
        <v>=MAX(0,D2-E2*(1-F2))</v>
      </c>
      <c r="I18" s="29" t="str">
        <f t="shared" ref="I18" ca="1" si="2">_xlfn.FORMULATEXT(I2)</f>
        <v>=H2*G2</v>
      </c>
      <c r="J18" s="24"/>
    </row>
    <row r="20" spans="1:10" x14ac:dyDescent="0.15">
      <c r="A20" s="15"/>
      <c r="B20" s="15"/>
      <c r="C20" s="15" t="s">
        <v>65</v>
      </c>
      <c r="D20" s="16">
        <f>SUM(D2:D17)</f>
        <v>2480</v>
      </c>
      <c r="E20" s="16">
        <f>SUM(E2:E17)</f>
        <v>2209</v>
      </c>
      <c r="F20" s="15"/>
      <c r="G20" s="15"/>
      <c r="H20" s="16">
        <f ca="1">SUM(H2:H18)</f>
        <v>358.02</v>
      </c>
      <c r="I20" s="16">
        <f>SUM(I2:I17)</f>
        <v>226.6525</v>
      </c>
      <c r="J20" s="15"/>
    </row>
    <row r="23" spans="1:10" x14ac:dyDescent="0.15">
      <c r="B23" s="20" t="s">
        <v>66</v>
      </c>
      <c r="J23" s="20" t="s">
        <v>67</v>
      </c>
    </row>
    <row r="24" spans="1:10" x14ac:dyDescent="0.15">
      <c r="B24" s="17" t="s">
        <v>62</v>
      </c>
      <c r="I24" s="18">
        <f>SUMIF(B2:B17,B24,I2:I17)</f>
        <v>0</v>
      </c>
      <c r="J24" s="19">
        <f>I24/$I$20</f>
        <v>0</v>
      </c>
    </row>
    <row r="25" spans="1:10" x14ac:dyDescent="0.15">
      <c r="B25" s="17" t="s">
        <v>54</v>
      </c>
      <c r="I25" s="18">
        <f>SUMIF(B2:B17,B25,I2:I17)</f>
        <v>99.5</v>
      </c>
      <c r="J25" s="19">
        <f>I25/$I$20</f>
        <v>0.43899802561189488</v>
      </c>
    </row>
    <row r="26" spans="1:10" x14ac:dyDescent="0.15">
      <c r="B26" s="17" t="s">
        <v>45</v>
      </c>
      <c r="I26" s="18">
        <f>SUMIF(B2:B17,B26,I2:I17)</f>
        <v>99.95</v>
      </c>
      <c r="J26" s="19">
        <f>I26/$I$20</f>
        <v>0.44098344381817983</v>
      </c>
    </row>
    <row r="27" spans="1:10" x14ac:dyDescent="0.15">
      <c r="B27" s="17" t="s">
        <v>35</v>
      </c>
      <c r="I27" s="18">
        <f>SUMIF(B2:B17,B27,I2:I17)</f>
        <v>0</v>
      </c>
      <c r="J27" s="19">
        <f>I27/$I$20</f>
        <v>0</v>
      </c>
    </row>
    <row r="28" spans="1:10" x14ac:dyDescent="0.15">
      <c r="B28" s="17" t="s">
        <v>58</v>
      </c>
      <c r="I28" s="18">
        <f>SUMIF(B2:B17,B28,I2:I17)</f>
        <v>27.202500000000001</v>
      </c>
      <c r="J28" s="19">
        <f>I28/$I$20</f>
        <v>0.12001853056992533</v>
      </c>
    </row>
    <row r="29" spans="1:10" x14ac:dyDescent="0.15">
      <c r="I29" s="27" t="str">
        <f ca="1">_xlfn.FORMULATEXT(I28)</f>
        <v>=SUMIF(B2:B17,B28,I2:I17)</v>
      </c>
      <c r="J29" s="27" t="str">
        <f ca="1">_xlfn.FORMULATEXT(J28)</f>
        <v>=I28/$I$20</v>
      </c>
    </row>
    <row r="32" spans="1:10" ht="15" x14ac:dyDescent="0.2">
      <c r="B32" s="26" t="s">
        <v>184</v>
      </c>
      <c r="C32" s="25"/>
    </row>
    <row r="33" spans="2:3" x14ac:dyDescent="0.15">
      <c r="B33" s="3" t="s">
        <v>171</v>
      </c>
      <c r="C33" s="33" t="s">
        <v>172</v>
      </c>
    </row>
    <row r="34" spans="2:3" x14ac:dyDescent="0.15">
      <c r="B34" s="3" t="s">
        <v>173</v>
      </c>
      <c r="C34" s="33" t="s">
        <v>174</v>
      </c>
    </row>
    <row r="35" spans="2:3" x14ac:dyDescent="0.15">
      <c r="B35" s="3" t="s">
        <v>175</v>
      </c>
      <c r="C35" s="33" t="s">
        <v>176</v>
      </c>
    </row>
    <row r="36" spans="2:3" x14ac:dyDescent="0.15">
      <c r="B36" s="3" t="s">
        <v>177</v>
      </c>
      <c r="C36" s="33" t="s">
        <v>182</v>
      </c>
    </row>
    <row r="37" spans="2:3" x14ac:dyDescent="0.15">
      <c r="B37" s="3" t="s">
        <v>178</v>
      </c>
      <c r="C37" s="33" t="s">
        <v>179</v>
      </c>
    </row>
    <row r="38" spans="2:3" x14ac:dyDescent="0.15">
      <c r="B38" s="3" t="s">
        <v>180</v>
      </c>
      <c r="C38" s="33" t="s">
        <v>181</v>
      </c>
    </row>
    <row r="39" spans="2:3" x14ac:dyDescent="0.15">
      <c r="B39" s="27"/>
      <c r="C39" s="28"/>
    </row>
    <row r="40" spans="2:3" x14ac:dyDescent="0.15">
      <c r="B40" s="32" t="s">
        <v>187</v>
      </c>
      <c r="C40" s="3" t="s">
        <v>185</v>
      </c>
    </row>
    <row r="41" spans="2:3" x14ac:dyDescent="0.15">
      <c r="B41" s="32"/>
    </row>
    <row r="42" spans="2:3" x14ac:dyDescent="0.15">
      <c r="B42" s="32" t="s">
        <v>191</v>
      </c>
      <c r="C42" s="3" t="s">
        <v>186</v>
      </c>
    </row>
    <row r="43" spans="2:3" x14ac:dyDescent="0.15">
      <c r="B43" s="32"/>
      <c r="C43" s="3" t="s">
        <v>189</v>
      </c>
    </row>
    <row r="44" spans="2:3" x14ac:dyDescent="0.15">
      <c r="B44" s="32"/>
      <c r="C44" s="3" t="s">
        <v>188</v>
      </c>
    </row>
    <row r="45" spans="2:3" x14ac:dyDescent="0.15">
      <c r="B45" s="32"/>
      <c r="C45" s="3" t="s">
        <v>190</v>
      </c>
    </row>
    <row r="46" spans="2:3" x14ac:dyDescent="0.15">
      <c r="B46" s="31" t="s">
        <v>192</v>
      </c>
      <c r="C46" s="3" t="s">
        <v>193</v>
      </c>
    </row>
  </sheetData>
  <mergeCells count="2">
    <mergeCell ref="B42:B45"/>
    <mergeCell ref="B40:B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activeCell="C21" sqref="C21"/>
    </sheetView>
  </sheetViews>
  <sheetFormatPr baseColWidth="10" defaultColWidth="8.6640625" defaultRowHeight="16" x14ac:dyDescent="0.2"/>
  <cols>
    <col min="1" max="1" width="57.83203125" style="35" customWidth="1"/>
    <col min="2" max="2" width="18" style="35" customWidth="1"/>
    <col min="3" max="3" width="55" style="35" customWidth="1"/>
    <col min="4" max="16384" width="8.6640625" style="35"/>
  </cols>
  <sheetData>
    <row r="1" spans="1:3" x14ac:dyDescent="0.2">
      <c r="A1" s="41" t="s">
        <v>68</v>
      </c>
    </row>
    <row r="3" spans="1:3" x14ac:dyDescent="0.2">
      <c r="A3" s="1" t="s">
        <v>69</v>
      </c>
      <c r="B3" s="36">
        <f>Portfolio!I20</f>
        <v>226.6525</v>
      </c>
      <c r="C3" s="34" t="s">
        <v>70</v>
      </c>
    </row>
    <row r="4" spans="1:3" x14ac:dyDescent="0.2">
      <c r="A4" s="1" t="s">
        <v>71</v>
      </c>
      <c r="B4" s="37">
        <v>24.5</v>
      </c>
      <c r="C4" s="34" t="s">
        <v>72</v>
      </c>
    </row>
    <row r="5" spans="1:3" x14ac:dyDescent="0.2">
      <c r="A5" s="1" t="s">
        <v>73</v>
      </c>
      <c r="B5" s="38">
        <f>B4/B3</f>
        <v>0.10809499123106958</v>
      </c>
      <c r="C5" s="34" t="s">
        <v>74</v>
      </c>
    </row>
    <row r="7" spans="1:3" x14ac:dyDescent="0.2">
      <c r="A7" s="1" t="s">
        <v>75</v>
      </c>
      <c r="B7" s="39"/>
    </row>
    <row r="8" spans="1:3" x14ac:dyDescent="0.2">
      <c r="A8" s="1" t="s">
        <v>76</v>
      </c>
      <c r="B8" s="40">
        <v>0.108</v>
      </c>
      <c r="C8" s="34" t="s">
        <v>194</v>
      </c>
    </row>
    <row r="9" spans="1:3" x14ac:dyDescent="0.2">
      <c r="A9" s="1" t="s">
        <v>77</v>
      </c>
      <c r="B9" s="38">
        <f>B5-B8</f>
        <v>9.4991231069582738E-5</v>
      </c>
      <c r="C9" s="34" t="s">
        <v>195</v>
      </c>
    </row>
    <row r="11" spans="1:3" x14ac:dyDescent="0.2">
      <c r="A11" s="1" t="s">
        <v>78</v>
      </c>
      <c r="B11" s="39"/>
    </row>
    <row r="12" spans="1:3" x14ac:dyDescent="0.2">
      <c r="A12" s="1" t="s">
        <v>79</v>
      </c>
      <c r="B12" s="38">
        <v>0.98099999999999998</v>
      </c>
      <c r="C12" s="34" t="s">
        <v>80</v>
      </c>
    </row>
    <row r="13" spans="1:3" x14ac:dyDescent="0.2">
      <c r="A13" s="1" t="s">
        <v>81</v>
      </c>
      <c r="B13" s="38">
        <f>(Portfolio!I25+Portfolio!I26+Portfolio!I27+Portfolio!I28+Portfolio!I24)/Portfolio!I20</f>
        <v>0.99999999999999989</v>
      </c>
      <c r="C13" s="34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zoomScaleNormal="100" workbookViewId="0">
      <selection activeCell="D43" sqref="D43"/>
    </sheetView>
  </sheetViews>
  <sheetFormatPr baseColWidth="10" defaultColWidth="8.6640625" defaultRowHeight="14" x14ac:dyDescent="0.15"/>
  <cols>
    <col min="1" max="1" width="32.83203125" style="3" customWidth="1"/>
    <col min="2" max="2" width="26.83203125" style="3" customWidth="1"/>
    <col min="3" max="3" width="30" style="3" customWidth="1"/>
    <col min="4" max="4" width="14" style="3" customWidth="1"/>
    <col min="5" max="5" width="49" style="3" customWidth="1"/>
    <col min="6" max="6" width="34" style="3" customWidth="1"/>
    <col min="7" max="7" width="52.6640625" style="3" customWidth="1"/>
    <col min="8" max="8" width="30.83203125" style="3" customWidth="1"/>
    <col min="9" max="9" width="25.1640625" style="3" customWidth="1"/>
    <col min="10" max="16384" width="8.6640625" style="3"/>
  </cols>
  <sheetData>
    <row r="1" spans="1:9" ht="17" x14ac:dyDescent="0.2">
      <c r="A1" s="52" t="s">
        <v>83</v>
      </c>
      <c r="B1" s="53"/>
    </row>
    <row r="2" spans="1:9" ht="45" customHeight="1" x14ac:dyDescent="0.15">
      <c r="A2" s="43" t="s">
        <v>84</v>
      </c>
      <c r="B2" s="43"/>
      <c r="C2" s="43"/>
      <c r="D2" s="43"/>
      <c r="E2" s="43"/>
      <c r="F2" s="43"/>
      <c r="G2" s="43"/>
      <c r="H2" s="43"/>
      <c r="I2" s="43"/>
    </row>
    <row r="4" spans="1:9" x14ac:dyDescent="0.15">
      <c r="A4" s="20" t="s">
        <v>85</v>
      </c>
    </row>
    <row r="5" spans="1:9" x14ac:dyDescent="0.15">
      <c r="A5" s="3" t="s">
        <v>86</v>
      </c>
      <c r="B5" s="44">
        <v>-0.5</v>
      </c>
      <c r="C5" s="45" t="s">
        <v>87</v>
      </c>
    </row>
    <row r="6" spans="1:9" x14ac:dyDescent="0.15">
      <c r="A6" s="3" t="s">
        <v>88</v>
      </c>
      <c r="B6" s="44">
        <v>0.05</v>
      </c>
      <c r="C6" s="45" t="s">
        <v>89</v>
      </c>
    </row>
    <row r="7" spans="1:9" x14ac:dyDescent="0.15">
      <c r="A7" s="3" t="s">
        <v>90</v>
      </c>
      <c r="B7" s="44">
        <v>0.1</v>
      </c>
      <c r="C7" s="45" t="s">
        <v>91</v>
      </c>
    </row>
    <row r="9" spans="1:9" ht="30" x14ac:dyDescent="0.15">
      <c r="A9" s="10" t="s">
        <v>25</v>
      </c>
      <c r="B9" s="10" t="s">
        <v>26</v>
      </c>
      <c r="C9" s="10" t="s">
        <v>27</v>
      </c>
      <c r="D9" s="10" t="s">
        <v>28</v>
      </c>
      <c r="E9" s="10" t="s">
        <v>92</v>
      </c>
      <c r="F9" s="10" t="s">
        <v>93</v>
      </c>
      <c r="G9" s="10" t="s">
        <v>94</v>
      </c>
      <c r="H9" s="10" t="s">
        <v>95</v>
      </c>
      <c r="I9" s="10" t="s">
        <v>96</v>
      </c>
    </row>
    <row r="10" spans="1:9" x14ac:dyDescent="0.15">
      <c r="A10" s="46" t="str">
        <f>Portfolio!A2</f>
        <v>Repo-01</v>
      </c>
      <c r="B10" s="46" t="str">
        <f>Portfolio!B2</f>
        <v>Repo-style transactions</v>
      </c>
      <c r="C10" s="46" t="str">
        <f>Portfolio!C2</f>
        <v>ABC Broker-Dealer</v>
      </c>
      <c r="D10" s="13">
        <f>Portfolio!D2</f>
        <v>420</v>
      </c>
      <c r="E10" s="13">
        <f>IF(Portfolio!J2="Y",Portfolio!E2*(1+$B$5),Portfolio!E2)</f>
        <v>435</v>
      </c>
      <c r="F10" s="47">
        <f>Portfolio!F2+$B$6</f>
        <v>7.0000000000000007E-2</v>
      </c>
      <c r="G10" s="47">
        <f>MIN(1,Portfolio!G2+$B$7)</f>
        <v>0.30000000000000004</v>
      </c>
      <c r="H10" s="13">
        <f t="shared" ref="H10:H25" si="0">MAX(0,D10-E10*(1-F10))</f>
        <v>15.450000000000045</v>
      </c>
      <c r="I10" s="13">
        <f t="shared" ref="I10:I25" si="1">H10*G10</f>
        <v>4.635000000000014</v>
      </c>
    </row>
    <row r="11" spans="1:9" x14ac:dyDescent="0.15">
      <c r="A11" s="46" t="str">
        <f>Portfolio!A3</f>
        <v>Repo-02</v>
      </c>
      <c r="B11" s="46" t="str">
        <f>Portfolio!B3</f>
        <v>Repo-style transactions</v>
      </c>
      <c r="C11" s="46" t="str">
        <f>Portfolio!C3</f>
        <v>DEF Broker-Dealer</v>
      </c>
      <c r="D11" s="13">
        <f>Portfolio!D3</f>
        <v>310</v>
      </c>
      <c r="E11" s="13">
        <f>IF(Portfolio!J3="Y",Portfolio!E3*(1+$B$5),Portfolio!E3)</f>
        <v>318</v>
      </c>
      <c r="F11" s="47">
        <f>Portfolio!F3+$B$6</f>
        <v>7.0000000000000007E-2</v>
      </c>
      <c r="G11" s="47">
        <f>MIN(1,Portfolio!G3+$B$7)</f>
        <v>0.30000000000000004</v>
      </c>
      <c r="H11" s="13">
        <f t="shared" si="0"/>
        <v>14.260000000000048</v>
      </c>
      <c r="I11" s="13">
        <f t="shared" si="1"/>
        <v>4.2780000000000147</v>
      </c>
    </row>
    <row r="12" spans="1:9" x14ac:dyDescent="0.15">
      <c r="A12" s="46" t="str">
        <f>Portfolio!A4</f>
        <v>Repo-03</v>
      </c>
      <c r="B12" s="46" t="str">
        <f>Portfolio!B4</f>
        <v>Repo-style transactions</v>
      </c>
      <c r="C12" s="46" t="str">
        <f>Portfolio!C4</f>
        <v>GHI Sponsored Repo Client (FICC)</v>
      </c>
      <c r="D12" s="13">
        <f>Portfolio!D4</f>
        <v>260</v>
      </c>
      <c r="E12" s="13">
        <f>IF(Portfolio!J4="Y",Portfolio!E4*(1+$B$5),Portfolio!E4)</f>
        <v>268</v>
      </c>
      <c r="F12" s="47">
        <f>Portfolio!F4+$B$6</f>
        <v>7.0000000000000007E-2</v>
      </c>
      <c r="G12" s="47">
        <f>MIN(1,Portfolio!G4+$B$7)</f>
        <v>0.30000000000000004</v>
      </c>
      <c r="H12" s="13">
        <f t="shared" si="0"/>
        <v>10.760000000000019</v>
      </c>
      <c r="I12" s="13">
        <f t="shared" si="1"/>
        <v>3.2280000000000064</v>
      </c>
    </row>
    <row r="13" spans="1:9" x14ac:dyDescent="0.15">
      <c r="A13" s="46" t="str">
        <f>Portfolio!A5</f>
        <v>Repo-04</v>
      </c>
      <c r="B13" s="46" t="str">
        <f>Portfolio!B5</f>
        <v>Repo-style transactions</v>
      </c>
      <c r="C13" s="46" t="str">
        <f>Portfolio!C5</f>
        <v>JKL Sponsored Repo Client (FICC)</v>
      </c>
      <c r="D13" s="13">
        <f>Portfolio!D5</f>
        <v>180</v>
      </c>
      <c r="E13" s="13">
        <f>IF(Portfolio!J5="Y",Portfolio!E5*(1+$B$5),Portfolio!E5)</f>
        <v>185</v>
      </c>
      <c r="F13" s="47">
        <f>Portfolio!F5+$B$6</f>
        <v>7.0000000000000007E-2</v>
      </c>
      <c r="G13" s="47">
        <f>MIN(1,Portfolio!G5+$B$7)</f>
        <v>0.30000000000000004</v>
      </c>
      <c r="H13" s="13">
        <f t="shared" si="0"/>
        <v>7.9500000000000171</v>
      </c>
      <c r="I13" s="13">
        <f t="shared" si="1"/>
        <v>2.3850000000000056</v>
      </c>
    </row>
    <row r="14" spans="1:9" x14ac:dyDescent="0.15">
      <c r="A14" s="46" t="str">
        <f>Portfolio!A6</f>
        <v>Deriv-01</v>
      </c>
      <c r="B14" s="46" t="str">
        <f>Portfolio!B6</f>
        <v>OTC derivatives</v>
      </c>
      <c r="C14" s="46" t="str">
        <f>Portfolio!C6</f>
        <v>MNO Asset Manager - FX fwd</v>
      </c>
      <c r="D14" s="13">
        <f>Portfolio!D6</f>
        <v>150</v>
      </c>
      <c r="E14" s="13">
        <f>IF(Portfolio!J6="Y",Portfolio!E6*(1+$B$5),Portfolio!E6)</f>
        <v>90</v>
      </c>
      <c r="F14" s="47">
        <f>Portfolio!F6+$B$6</f>
        <v>0.1</v>
      </c>
      <c r="G14" s="47">
        <f>MIN(1,Portfolio!G6+$B$7)</f>
        <v>0.6</v>
      </c>
      <c r="H14" s="13">
        <f t="shared" si="0"/>
        <v>69</v>
      </c>
      <c r="I14" s="13">
        <f t="shared" si="1"/>
        <v>41.4</v>
      </c>
    </row>
    <row r="15" spans="1:9" x14ac:dyDescent="0.15">
      <c r="A15" s="46" t="str">
        <f>Portfolio!A7</f>
        <v>Deriv-02</v>
      </c>
      <c r="B15" s="46" t="str">
        <f>Portfolio!B7</f>
        <v>OTC derivatives</v>
      </c>
      <c r="C15" s="46" t="str">
        <f>Portfolio!C7</f>
        <v>PQR Asset Manager - FX swap</v>
      </c>
      <c r="D15" s="13">
        <f>Portfolio!D7</f>
        <v>130</v>
      </c>
      <c r="E15" s="13">
        <f>IF(Portfolio!J7="Y",Portfolio!E7*(1+$B$5),Portfolio!E7)</f>
        <v>70</v>
      </c>
      <c r="F15" s="47">
        <f>Portfolio!F7+$B$6</f>
        <v>0.1</v>
      </c>
      <c r="G15" s="47">
        <f>MIN(1,Portfolio!G7+$B$7)</f>
        <v>0.6</v>
      </c>
      <c r="H15" s="13">
        <f t="shared" si="0"/>
        <v>67</v>
      </c>
      <c r="I15" s="13">
        <f t="shared" si="1"/>
        <v>40.199999999999996</v>
      </c>
    </row>
    <row r="16" spans="1:9" x14ac:dyDescent="0.15">
      <c r="A16" s="46" t="str">
        <f>Portfolio!A8</f>
        <v>Deriv-03</v>
      </c>
      <c r="B16" s="46" t="str">
        <f>Portfolio!B8</f>
        <v>OTC derivatives</v>
      </c>
      <c r="C16" s="46" t="str">
        <f>Portfolio!C8</f>
        <v>STU Pension Fund - IR swap</v>
      </c>
      <c r="D16" s="13">
        <f>Portfolio!D8</f>
        <v>95</v>
      </c>
      <c r="E16" s="13">
        <f>IF(Portfolio!J8="Y",Portfolio!E8*(1+$B$5),Portfolio!E8)</f>
        <v>40</v>
      </c>
      <c r="F16" s="47">
        <f>Portfolio!F8+$B$6</f>
        <v>0.1</v>
      </c>
      <c r="G16" s="47">
        <f>MIN(1,Portfolio!G8+$B$7)</f>
        <v>0.6</v>
      </c>
      <c r="H16" s="13">
        <f t="shared" si="0"/>
        <v>59</v>
      </c>
      <c r="I16" s="13">
        <f t="shared" si="1"/>
        <v>35.4</v>
      </c>
    </row>
    <row r="17" spans="1:9" x14ac:dyDescent="0.15">
      <c r="A17" s="46" t="str">
        <f>Portfolio!A9</f>
        <v>Deriv-04</v>
      </c>
      <c r="B17" s="46" t="str">
        <f>Portfolio!B9</f>
        <v>OTC derivatives</v>
      </c>
      <c r="C17" s="46" t="str">
        <f>Portfolio!C9</f>
        <v>VWX Sovereign Fund - FX fwd</v>
      </c>
      <c r="D17" s="13">
        <f>Portfolio!D9</f>
        <v>80</v>
      </c>
      <c r="E17" s="13">
        <f>IF(Portfolio!J9="Y",Portfolio!E9*(1+$B$5),Portfolio!E9)</f>
        <v>45</v>
      </c>
      <c r="F17" s="47">
        <f>Portfolio!F9+$B$6</f>
        <v>0.1</v>
      </c>
      <c r="G17" s="47">
        <f>MIN(1,Portfolio!G9+$B$7)</f>
        <v>0.30000000000000004</v>
      </c>
      <c r="H17" s="13">
        <f t="shared" si="0"/>
        <v>39.5</v>
      </c>
      <c r="I17" s="13">
        <f t="shared" si="1"/>
        <v>11.850000000000001</v>
      </c>
    </row>
    <row r="18" spans="1:9" x14ac:dyDescent="0.15">
      <c r="A18" s="46" t="str">
        <f>Portfolio!A10</f>
        <v>Loan-01</v>
      </c>
      <c r="B18" s="46" t="str">
        <f>Portfolio!B10</f>
        <v>Loans</v>
      </c>
      <c r="C18" s="46" t="str">
        <f>Portfolio!C10</f>
        <v>YZ Corp</v>
      </c>
      <c r="D18" s="13">
        <f>Portfolio!D10</f>
        <v>60</v>
      </c>
      <c r="E18" s="13">
        <f>IF(Portfolio!J10="Y",Portfolio!E10*(1+$B$5),Portfolio!E10)</f>
        <v>20</v>
      </c>
      <c r="F18" s="47">
        <f>Portfolio!F10+$B$6</f>
        <v>0.15000000000000002</v>
      </c>
      <c r="G18" s="47">
        <f>MIN(1,Portfolio!G10+$B$7)</f>
        <v>1</v>
      </c>
      <c r="H18" s="13">
        <f t="shared" si="0"/>
        <v>43</v>
      </c>
      <c r="I18" s="13">
        <f t="shared" si="1"/>
        <v>43</v>
      </c>
    </row>
    <row r="19" spans="1:9" x14ac:dyDescent="0.15">
      <c r="A19" s="46" t="str">
        <f>Portfolio!A11</f>
        <v>Loan-02</v>
      </c>
      <c r="B19" s="46" t="str">
        <f>Portfolio!B11</f>
        <v>Loans</v>
      </c>
      <c r="C19" s="46" t="str">
        <f>Portfolio!C11</f>
        <v>12 Corp</v>
      </c>
      <c r="D19" s="13">
        <f>Portfolio!D11</f>
        <v>45</v>
      </c>
      <c r="E19" s="13">
        <f>IF(Portfolio!J11="Y",Portfolio!E11*(1+$B$5),Portfolio!E11)</f>
        <v>15</v>
      </c>
      <c r="F19" s="47">
        <f>Portfolio!F11+$B$6</f>
        <v>0.15000000000000002</v>
      </c>
      <c r="G19" s="47">
        <f>MIN(1,Portfolio!G11+$B$7)</f>
        <v>1</v>
      </c>
      <c r="H19" s="13">
        <f t="shared" si="0"/>
        <v>32.25</v>
      </c>
      <c r="I19" s="13">
        <f t="shared" si="1"/>
        <v>32.25</v>
      </c>
    </row>
    <row r="20" spans="1:9" x14ac:dyDescent="0.15">
      <c r="A20" s="46" t="str">
        <f>Portfolio!A12</f>
        <v>Loan-03</v>
      </c>
      <c r="B20" s="46" t="str">
        <f>Portfolio!B12</f>
        <v>Loans</v>
      </c>
      <c r="C20" s="46" t="str">
        <f>Portfolio!C12</f>
        <v>34 Real Estate LLC</v>
      </c>
      <c r="D20" s="13">
        <f>Portfolio!D12</f>
        <v>35</v>
      </c>
      <c r="E20" s="13">
        <f>IF(Portfolio!J12="Y",Portfolio!E12*(1+$B$5),Portfolio!E12)</f>
        <v>10</v>
      </c>
      <c r="F20" s="47">
        <f>Portfolio!F12+$B$6</f>
        <v>0.15000000000000002</v>
      </c>
      <c r="G20" s="47">
        <f>MIN(1,Portfolio!G12+$B$7)</f>
        <v>1</v>
      </c>
      <c r="H20" s="13">
        <f t="shared" si="0"/>
        <v>26.5</v>
      </c>
      <c r="I20" s="13">
        <f t="shared" si="1"/>
        <v>26.5</v>
      </c>
    </row>
    <row r="21" spans="1:9" x14ac:dyDescent="0.15">
      <c r="A21" s="46" t="str">
        <f>Portfolio!A13</f>
        <v>Sec-01</v>
      </c>
      <c r="B21" s="46" t="str">
        <f>Portfolio!B13</f>
        <v>Securitization</v>
      </c>
      <c r="C21" s="46" t="str">
        <f>Portfolio!C13</f>
        <v>56 ABS Tranche</v>
      </c>
      <c r="D21" s="13">
        <f>Portfolio!D13</f>
        <v>25</v>
      </c>
      <c r="E21" s="13">
        <f>IF(Portfolio!J13="Y",Portfolio!E13*(1+$B$5),Portfolio!E13)</f>
        <v>2.5</v>
      </c>
      <c r="F21" s="47">
        <f>Portfolio!F13+$B$6</f>
        <v>0.08</v>
      </c>
      <c r="G21" s="47">
        <f>MIN(1,Portfolio!G13+$B$7)</f>
        <v>0.85</v>
      </c>
      <c r="H21" s="13">
        <f t="shared" si="0"/>
        <v>22.7</v>
      </c>
      <c r="I21" s="13">
        <f t="shared" si="1"/>
        <v>19.294999999999998</v>
      </c>
    </row>
    <row r="22" spans="1:9" x14ac:dyDescent="0.15">
      <c r="A22" s="46" t="str">
        <f>Portfolio!A14</f>
        <v>Sec-02</v>
      </c>
      <c r="B22" s="46" t="str">
        <f>Portfolio!B14</f>
        <v>Securitization</v>
      </c>
      <c r="C22" s="46" t="str">
        <f>Portfolio!C14</f>
        <v>78 ABS Tranche</v>
      </c>
      <c r="D22" s="13">
        <f>Portfolio!D14</f>
        <v>20</v>
      </c>
      <c r="E22" s="13">
        <f>IF(Portfolio!J14="Y",Portfolio!E14*(1+$B$5),Portfolio!E14)</f>
        <v>2</v>
      </c>
      <c r="F22" s="47">
        <f>Portfolio!F14+$B$6</f>
        <v>0.08</v>
      </c>
      <c r="G22" s="47">
        <f>MIN(1,Portfolio!G14+$B$7)</f>
        <v>0.85</v>
      </c>
      <c r="H22" s="13">
        <f t="shared" si="0"/>
        <v>18.16</v>
      </c>
      <c r="I22" s="13">
        <f t="shared" si="1"/>
        <v>15.436</v>
      </c>
    </row>
    <row r="23" spans="1:9" x14ac:dyDescent="0.15">
      <c r="A23" s="46" t="str">
        <f>Portfolio!A15</f>
        <v>Indem-01</v>
      </c>
      <c r="B23" s="46" t="str">
        <f>Portfolio!B15</f>
        <v>Indemnified securities financing</v>
      </c>
      <c r="C23" s="46" t="str">
        <f>Portfolio!C15</f>
        <v>910 Agency Lending Client</v>
      </c>
      <c r="D23" s="13">
        <f>Portfolio!D15</f>
        <v>300</v>
      </c>
      <c r="E23" s="13">
        <f>IF(Portfolio!J15="Y",Portfolio!E15*(1+$B$5),Portfolio!E15)</f>
        <v>157.5</v>
      </c>
      <c r="F23" s="47">
        <f>Portfolio!F15+$B$6</f>
        <v>7.0000000000000007E-2</v>
      </c>
      <c r="G23" s="47">
        <f>MIN(1,Portfolio!G15+$B$7)</f>
        <v>0.30000000000000004</v>
      </c>
      <c r="H23" s="13">
        <f t="shared" si="0"/>
        <v>153.52500000000001</v>
      </c>
      <c r="I23" s="13">
        <f t="shared" si="1"/>
        <v>46.057500000000012</v>
      </c>
    </row>
    <row r="24" spans="1:9" x14ac:dyDescent="0.15">
      <c r="A24" s="46" t="str">
        <f>Portfolio!A16</f>
        <v>Indem-02</v>
      </c>
      <c r="B24" s="46" t="str">
        <f>Portfolio!B16</f>
        <v>Indemnified securities financing</v>
      </c>
      <c r="C24" s="46" t="str">
        <f>Portfolio!C16</f>
        <v>11 Agency Lending Client</v>
      </c>
      <c r="D24" s="13">
        <f>Portfolio!D16</f>
        <v>220</v>
      </c>
      <c r="E24" s="13">
        <f>IF(Portfolio!J16="Y",Portfolio!E16*(1+$B$5),Portfolio!E16)</f>
        <v>115.5</v>
      </c>
      <c r="F24" s="47">
        <f>Portfolio!F16+$B$6</f>
        <v>7.0000000000000007E-2</v>
      </c>
      <c r="G24" s="47">
        <f>MIN(1,Portfolio!G16+$B$7)</f>
        <v>0.30000000000000004</v>
      </c>
      <c r="H24" s="13">
        <f t="shared" si="0"/>
        <v>112.58500000000001</v>
      </c>
      <c r="I24" s="13">
        <f t="shared" si="1"/>
        <v>33.775500000000008</v>
      </c>
    </row>
    <row r="25" spans="1:9" x14ac:dyDescent="0.15">
      <c r="A25" s="46" t="str">
        <f>Portfolio!A17</f>
        <v>Indem-03</v>
      </c>
      <c r="B25" s="46" t="str">
        <f>Portfolio!B17</f>
        <v>Indemnified securities financing</v>
      </c>
      <c r="C25" s="46" t="str">
        <f>Portfolio!C17</f>
        <v>12 Hedge Fund (borrower)</v>
      </c>
      <c r="D25" s="13">
        <f>Portfolio!D17</f>
        <v>150</v>
      </c>
      <c r="E25" s="13">
        <f>IF(Portfolio!J17="Y",Portfolio!E17*(1+$B$5),Portfolio!E17)</f>
        <v>79</v>
      </c>
      <c r="F25" s="47">
        <f>Portfolio!F17+$B$6</f>
        <v>7.0000000000000007E-2</v>
      </c>
      <c r="G25" s="47">
        <f>MIN(1,Portfolio!G17+$B$7)</f>
        <v>0.30000000000000004</v>
      </c>
      <c r="H25" s="13">
        <f t="shared" si="0"/>
        <v>76.53</v>
      </c>
      <c r="I25" s="13">
        <f t="shared" si="1"/>
        <v>22.959000000000003</v>
      </c>
    </row>
    <row r="26" spans="1:9" x14ac:dyDescent="0.15">
      <c r="A26" s="54"/>
      <c r="B26" s="54"/>
      <c r="C26" s="54"/>
      <c r="D26" s="24"/>
      <c r="E26" s="27" t="s">
        <v>200</v>
      </c>
      <c r="F26" s="27" t="s">
        <v>196</v>
      </c>
      <c r="G26" s="27" t="s">
        <v>197</v>
      </c>
      <c r="H26" s="27" t="s">
        <v>198</v>
      </c>
      <c r="I26" s="27" t="s">
        <v>199</v>
      </c>
    </row>
    <row r="27" spans="1:9" x14ac:dyDescent="0.15">
      <c r="E27" s="3" t="str">
        <f ca="1">_xlfn.FORMULATEXT(E25)</f>
        <v>=IF(Portfolio!J17="Y",Portfolio!E17*(1+$B$5),Portfolio!E17)</v>
      </c>
      <c r="F27" s="3" t="str">
        <f ca="1">_xlfn.FORMULATEXT(F25)</f>
        <v>=Portfolio!F17+$B$6</v>
      </c>
      <c r="G27" s="3" t="str">
        <f ca="1">_xlfn.FORMULATEXT(G25)</f>
        <v>=MIN(1,Portfolio!G17+$B$7)</v>
      </c>
      <c r="H27" s="3" t="str">
        <f ca="1">_xlfn.FORMULATEXT(H25)</f>
        <v>=MAX(0,D25-E25*(1-F25))</v>
      </c>
      <c r="I27" s="3" t="str">
        <f ca="1">_xlfn.FORMULATEXT(I25)</f>
        <v>=H25*G25</v>
      </c>
    </row>
    <row r="28" spans="1:9" x14ac:dyDescent="0.15">
      <c r="A28" s="15"/>
      <c r="B28" s="15"/>
      <c r="C28" s="15" t="s">
        <v>97</v>
      </c>
      <c r="D28" s="15"/>
      <c r="E28" s="15"/>
      <c r="F28" s="15"/>
      <c r="G28" s="15"/>
      <c r="H28" s="15"/>
      <c r="I28" s="16">
        <f>SUM(I10:I25)</f>
        <v>382.64900000000006</v>
      </c>
    </row>
    <row r="31" spans="1:9" x14ac:dyDescent="0.15">
      <c r="A31" s="20" t="s">
        <v>98</v>
      </c>
    </row>
    <row r="32" spans="1:9" x14ac:dyDescent="0.15">
      <c r="A32" s="3" t="s">
        <v>99</v>
      </c>
      <c r="B32" s="48">
        <f>Capital_Summary!B4</f>
        <v>24.5</v>
      </c>
      <c r="C32" s="45" t="s">
        <v>100</v>
      </c>
    </row>
    <row r="33" spans="1:10" x14ac:dyDescent="0.15">
      <c r="A33" s="3" t="s">
        <v>101</v>
      </c>
      <c r="B33" s="49">
        <v>1.5</v>
      </c>
      <c r="C33" s="45" t="s">
        <v>102</v>
      </c>
    </row>
    <row r="34" spans="1:10" x14ac:dyDescent="0.15">
      <c r="A34" s="3" t="s">
        <v>103</v>
      </c>
      <c r="B34" s="49">
        <v>-3</v>
      </c>
      <c r="C34" s="45" t="s">
        <v>104</v>
      </c>
    </row>
    <row r="35" spans="1:10" x14ac:dyDescent="0.15">
      <c r="A35" s="3" t="s">
        <v>105</v>
      </c>
      <c r="B35" s="49">
        <v>-1</v>
      </c>
      <c r="C35" s="45" t="s">
        <v>106</v>
      </c>
    </row>
    <row r="36" spans="1:10" x14ac:dyDescent="0.15">
      <c r="A36" s="20" t="s">
        <v>107</v>
      </c>
      <c r="B36" s="50">
        <f>B32+B33+B34+B35</f>
        <v>22</v>
      </c>
    </row>
    <row r="38" spans="1:10" x14ac:dyDescent="0.15">
      <c r="A38" s="20" t="s">
        <v>108</v>
      </c>
      <c r="B38" s="51">
        <f>B36/I28</f>
        <v>5.7493943535720717E-2</v>
      </c>
    </row>
    <row r="39" spans="1:10" x14ac:dyDescent="0.15">
      <c r="A39" s="17" t="s">
        <v>109</v>
      </c>
      <c r="B39" s="19">
        <f>Capital_Summary!B5</f>
        <v>0.10809499123106958</v>
      </c>
    </row>
    <row r="40" spans="1:10" x14ac:dyDescent="0.15">
      <c r="A40" s="17" t="s">
        <v>110</v>
      </c>
      <c r="B40" s="44">
        <v>4.4999999999999998E-2</v>
      </c>
    </row>
    <row r="42" spans="1:10" x14ac:dyDescent="0.15">
      <c r="B42" s="20" t="s">
        <v>111</v>
      </c>
    </row>
    <row r="43" spans="1:10" x14ac:dyDescent="0.15">
      <c r="B43" s="17" t="s">
        <v>62</v>
      </c>
      <c r="I43" s="18">
        <f>SUMIF(B10:B25,B43,I10:I25)</f>
        <v>102.79200000000003</v>
      </c>
      <c r="J43" s="3" t="str">
        <f ca="1">_xlfn.FORMULATEXT(I43)</f>
        <v>=SUMIF(B10:B25,B43,I10:I25)</v>
      </c>
    </row>
    <row r="44" spans="1:10" x14ac:dyDescent="0.15">
      <c r="B44" s="17" t="s">
        <v>54</v>
      </c>
      <c r="I44" s="18">
        <f>SUMIF(B10:B25,B44,I10:I25)</f>
        <v>101.75</v>
      </c>
      <c r="J44" s="3" t="str">
        <f t="shared" ref="J44:J47" ca="1" si="2">_xlfn.FORMULATEXT(I44)</f>
        <v>=SUMIF(B10:B25,B44,I10:I25)</v>
      </c>
    </row>
    <row r="45" spans="1:10" x14ac:dyDescent="0.15">
      <c r="B45" s="17" t="s">
        <v>45</v>
      </c>
      <c r="I45" s="18">
        <f>SUMIF(B10:B25,B45,I10:I25)</f>
        <v>128.85</v>
      </c>
      <c r="J45" s="3" t="str">
        <f t="shared" ca="1" si="2"/>
        <v>=SUMIF(B10:B25,B45,I10:I25)</v>
      </c>
    </row>
    <row r="46" spans="1:10" x14ac:dyDescent="0.15">
      <c r="B46" s="17" t="s">
        <v>35</v>
      </c>
      <c r="I46" s="18">
        <f>SUMIF(B10:B25,B46,I10:I25)</f>
        <v>14.526000000000041</v>
      </c>
      <c r="J46" s="3" t="str">
        <f t="shared" ca="1" si="2"/>
        <v>=SUMIF(B10:B25,B46,I10:I25)</v>
      </c>
    </row>
    <row r="47" spans="1:10" x14ac:dyDescent="0.15">
      <c r="B47" s="17" t="s">
        <v>58</v>
      </c>
      <c r="I47" s="18">
        <f>SUMIF(B10:B25,B47,I10:I25)</f>
        <v>34.730999999999995</v>
      </c>
      <c r="J47" s="3" t="str">
        <f t="shared" ca="1" si="2"/>
        <v>=SUMIF(B10:B25,B47,I10:I25)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opLeftCell="A2" zoomScale="141" zoomScaleNormal="100" workbookViewId="0">
      <selection activeCell="E29" sqref="E29"/>
    </sheetView>
  </sheetViews>
  <sheetFormatPr baseColWidth="10" defaultColWidth="8.6640625" defaultRowHeight="14" x14ac:dyDescent="0.15"/>
  <cols>
    <col min="1" max="1" width="38" style="3" customWidth="1"/>
    <col min="2" max="2" width="16" style="3" customWidth="1"/>
    <col min="3" max="3" width="19" style="3" customWidth="1"/>
    <col min="4" max="4" width="16" style="3" customWidth="1"/>
    <col min="5" max="5" width="45" style="3" customWidth="1"/>
    <col min="6" max="16384" width="8.6640625" style="3"/>
  </cols>
  <sheetData>
    <row r="1" spans="1:5" ht="17" x14ac:dyDescent="0.2">
      <c r="A1" s="42" t="s">
        <v>112</v>
      </c>
    </row>
    <row r="2" spans="1:5" ht="120" customHeight="1" x14ac:dyDescent="0.15">
      <c r="A2" s="43" t="s">
        <v>201</v>
      </c>
      <c r="B2" s="43"/>
      <c r="C2" s="43"/>
      <c r="D2" s="43"/>
      <c r="E2" s="43"/>
    </row>
    <row r="4" spans="1:5" x14ac:dyDescent="0.15">
      <c r="A4" s="20" t="s">
        <v>113</v>
      </c>
    </row>
    <row r="5" spans="1:5" x14ac:dyDescent="0.15">
      <c r="A5" s="17" t="s">
        <v>114</v>
      </c>
      <c r="B5" s="49">
        <v>5</v>
      </c>
      <c r="E5" s="45" t="s">
        <v>206</v>
      </c>
    </row>
    <row r="6" spans="1:5" x14ac:dyDescent="0.15">
      <c r="A6" s="17" t="s">
        <v>115</v>
      </c>
      <c r="B6" s="49">
        <v>20</v>
      </c>
      <c r="E6" s="45" t="s">
        <v>202</v>
      </c>
    </row>
    <row r="7" spans="1:5" x14ac:dyDescent="0.15">
      <c r="A7" s="17" t="s">
        <v>116</v>
      </c>
      <c r="B7" s="49">
        <v>12</v>
      </c>
      <c r="E7" s="45" t="s">
        <v>117</v>
      </c>
    </row>
    <row r="8" spans="1:5" x14ac:dyDescent="0.15">
      <c r="A8" s="17" t="s">
        <v>118</v>
      </c>
      <c r="B8" s="49">
        <v>2</v>
      </c>
      <c r="E8" s="45" t="s">
        <v>203</v>
      </c>
    </row>
    <row r="10" spans="1:5" x14ac:dyDescent="0.15">
      <c r="A10" s="20" t="s">
        <v>119</v>
      </c>
    </row>
    <row r="11" spans="1:5" x14ac:dyDescent="0.15">
      <c r="A11" s="55"/>
      <c r="B11" s="55" t="s">
        <v>120</v>
      </c>
      <c r="C11" s="55" t="s">
        <v>121</v>
      </c>
      <c r="D11" s="55"/>
      <c r="E11" s="55" t="s">
        <v>122</v>
      </c>
    </row>
    <row r="12" spans="1:5" x14ac:dyDescent="0.15">
      <c r="A12" s="3" t="s">
        <v>123</v>
      </c>
      <c r="B12" s="18">
        <f>B6+B7</f>
        <v>32</v>
      </c>
      <c r="C12" s="18">
        <f>B6-B7</f>
        <v>8</v>
      </c>
      <c r="E12" s="45" t="s">
        <v>124</v>
      </c>
    </row>
    <row r="13" spans="1:5" x14ac:dyDescent="0.15">
      <c r="A13" s="3" t="s">
        <v>125</v>
      </c>
      <c r="B13" s="18">
        <f>B5</f>
        <v>5</v>
      </c>
      <c r="C13" s="18">
        <f>B5</f>
        <v>5</v>
      </c>
    </row>
    <row r="14" spans="1:5" x14ac:dyDescent="0.15">
      <c r="A14" s="3" t="s">
        <v>126</v>
      </c>
      <c r="B14" s="18">
        <f>B8</f>
        <v>2</v>
      </c>
      <c r="C14" s="18">
        <f>B8</f>
        <v>2</v>
      </c>
    </row>
    <row r="15" spans="1:5" x14ac:dyDescent="0.15">
      <c r="A15" s="20" t="s">
        <v>127</v>
      </c>
      <c r="B15" s="50">
        <f>B12+B13+B14</f>
        <v>39</v>
      </c>
      <c r="C15" s="50">
        <f>C12+C13+C14</f>
        <v>15</v>
      </c>
    </row>
    <row r="17" spans="1:5" x14ac:dyDescent="0.15">
      <c r="A17" s="17" t="s">
        <v>128</v>
      </c>
      <c r="B17" s="44">
        <v>0.12</v>
      </c>
      <c r="E17" s="45" t="s">
        <v>204</v>
      </c>
    </row>
    <row r="18" spans="1:5" x14ac:dyDescent="0.15">
      <c r="A18" s="17" t="s">
        <v>129</v>
      </c>
      <c r="B18" s="56">
        <v>1</v>
      </c>
      <c r="E18" s="45" t="s">
        <v>205</v>
      </c>
    </row>
    <row r="20" spans="1:5" x14ac:dyDescent="0.15">
      <c r="A20" s="20" t="s">
        <v>130</v>
      </c>
      <c r="B20" s="53"/>
    </row>
    <row r="21" spans="1:5" x14ac:dyDescent="0.15">
      <c r="A21" s="3" t="s">
        <v>131</v>
      </c>
      <c r="B21" s="18">
        <f>12.5*B15*B17*B18</f>
        <v>58.5</v>
      </c>
    </row>
    <row r="22" spans="1:5" x14ac:dyDescent="0.15">
      <c r="A22" s="3" t="s">
        <v>209</v>
      </c>
      <c r="B22" s="18">
        <f>12.5*C15*B17*B18</f>
        <v>22.5</v>
      </c>
    </row>
    <row r="24" spans="1:5" x14ac:dyDescent="0.15">
      <c r="A24" s="17" t="s">
        <v>132</v>
      </c>
      <c r="B24" s="44">
        <v>0.2</v>
      </c>
      <c r="E24" s="45" t="s">
        <v>133</v>
      </c>
    </row>
    <row r="25" spans="1:5" x14ac:dyDescent="0.15">
      <c r="A25" s="3" t="s">
        <v>134</v>
      </c>
      <c r="B25" s="18">
        <f>Portfolio!I26*B24</f>
        <v>19.990000000000002</v>
      </c>
    </row>
    <row r="26" spans="1:5" x14ac:dyDescent="0.15">
      <c r="A26" s="3" t="s">
        <v>135</v>
      </c>
      <c r="B26" s="18">
        <f>Stress_Scenario!I45*B24</f>
        <v>25.77</v>
      </c>
    </row>
    <row r="28" spans="1:5" x14ac:dyDescent="0.15">
      <c r="A28" s="2" t="s">
        <v>136</v>
      </c>
    </row>
    <row r="29" spans="1:5" x14ac:dyDescent="0.15">
      <c r="A29" s="57" t="s">
        <v>137</v>
      </c>
      <c r="B29" s="57" t="s">
        <v>138</v>
      </c>
      <c r="C29" s="57" t="s">
        <v>96</v>
      </c>
    </row>
    <row r="30" spans="1:5" x14ac:dyDescent="0.15">
      <c r="A30" s="58" t="s">
        <v>139</v>
      </c>
      <c r="B30" s="59">
        <f>Portfolio!I20</f>
        <v>226.6525</v>
      </c>
      <c r="C30" s="59">
        <f>Stress_Scenario!I28</f>
        <v>382.64900000000006</v>
      </c>
    </row>
    <row r="31" spans="1:5" x14ac:dyDescent="0.15">
      <c r="A31" s="58" t="s">
        <v>140</v>
      </c>
      <c r="B31" s="59">
        <f>Portfolio!I20+B25+B21</f>
        <v>305.14250000000004</v>
      </c>
      <c r="C31" s="59">
        <f>Stress_Scenario!I28+B26+B21</f>
        <v>466.91900000000004</v>
      </c>
    </row>
    <row r="32" spans="1:5" x14ac:dyDescent="0.15">
      <c r="A32" s="58" t="s">
        <v>210</v>
      </c>
      <c r="B32" s="59">
        <f>Portfolio!I20+B25+B22</f>
        <v>269.14250000000004</v>
      </c>
      <c r="C32" s="59">
        <f>Stress_Scenario!I28+B26+B22</f>
        <v>430.91900000000004</v>
      </c>
    </row>
    <row r="34" spans="1:4" ht="16" x14ac:dyDescent="0.2">
      <c r="A34" s="4" t="s">
        <v>141</v>
      </c>
    </row>
    <row r="35" spans="1:4" x14ac:dyDescent="0.15">
      <c r="A35" s="57" t="s">
        <v>142</v>
      </c>
      <c r="B35" s="57" t="s">
        <v>69</v>
      </c>
      <c r="C35" s="57" t="s">
        <v>143</v>
      </c>
      <c r="D35" s="57" t="s">
        <v>73</v>
      </c>
    </row>
    <row r="36" spans="1:4" x14ac:dyDescent="0.15">
      <c r="A36" s="46" t="s">
        <v>144</v>
      </c>
      <c r="B36" s="59">
        <f>B30</f>
        <v>226.6525</v>
      </c>
      <c r="C36" s="59">
        <f>Capital_Summary!B4</f>
        <v>24.5</v>
      </c>
      <c r="D36" s="60">
        <f t="shared" ref="D36:D41" si="0">C36/B36</f>
        <v>0.10809499123106958</v>
      </c>
    </row>
    <row r="37" spans="1:4" x14ac:dyDescent="0.15">
      <c r="A37" s="46" t="s">
        <v>145</v>
      </c>
      <c r="B37" s="59">
        <f>C30</f>
        <v>382.64900000000006</v>
      </c>
      <c r="C37" s="59">
        <f>Stress_Scenario!B36</f>
        <v>22</v>
      </c>
      <c r="D37" s="60">
        <f t="shared" si="0"/>
        <v>5.7493943535720717E-2</v>
      </c>
    </row>
    <row r="38" spans="1:4" x14ac:dyDescent="0.15">
      <c r="A38" s="46" t="s">
        <v>146</v>
      </c>
      <c r="B38" s="59">
        <f>B31</f>
        <v>305.14250000000004</v>
      </c>
      <c r="C38" s="59">
        <f>Capital_Summary!B4</f>
        <v>24.5</v>
      </c>
      <c r="D38" s="60">
        <f t="shared" si="0"/>
        <v>8.0290356145079747E-2</v>
      </c>
    </row>
    <row r="39" spans="1:4" x14ac:dyDescent="0.15">
      <c r="A39" s="46" t="s">
        <v>147</v>
      </c>
      <c r="B39" s="59">
        <f>C31</f>
        <v>466.91900000000004</v>
      </c>
      <c r="C39" s="59">
        <f>Stress_Scenario!B36</f>
        <v>22</v>
      </c>
      <c r="D39" s="60">
        <f t="shared" si="0"/>
        <v>4.7117380102330381E-2</v>
      </c>
    </row>
    <row r="40" spans="1:4" x14ac:dyDescent="0.15">
      <c r="A40" s="46" t="s">
        <v>207</v>
      </c>
      <c r="B40" s="59">
        <f>B32</f>
        <v>269.14250000000004</v>
      </c>
      <c r="C40" s="59">
        <f>Capital_Summary!B4</f>
        <v>24.5</v>
      </c>
      <c r="D40" s="60">
        <f t="shared" si="0"/>
        <v>9.102984478482587E-2</v>
      </c>
    </row>
    <row r="41" spans="1:4" x14ac:dyDescent="0.15">
      <c r="A41" s="46" t="s">
        <v>208</v>
      </c>
      <c r="B41" s="59">
        <f>C32</f>
        <v>430.91900000000004</v>
      </c>
      <c r="C41" s="59">
        <f>Stress_Scenario!B36</f>
        <v>22</v>
      </c>
      <c r="D41" s="60">
        <f t="shared" si="0"/>
        <v>5.1053678301490532E-2</v>
      </c>
    </row>
    <row r="43" spans="1:4" x14ac:dyDescent="0.15">
      <c r="A43" s="45" t="s">
        <v>148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4A8B-5B2D-6C43-862A-4AF18DBC6212}">
  <dimension ref="A1:K35"/>
  <sheetViews>
    <sheetView workbookViewId="0">
      <selection activeCell="E19" sqref="E19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30" customWidth="1"/>
    <col min="4" max="4" width="11" customWidth="1"/>
    <col min="5" max="6" width="13" customWidth="1"/>
    <col min="7" max="7" width="11" customWidth="1"/>
    <col min="8" max="8" width="12" customWidth="1"/>
    <col min="9" max="9" width="20" customWidth="1"/>
    <col min="10" max="11" width="12" customWidth="1"/>
  </cols>
  <sheetData>
    <row r="1" spans="1:11" ht="45" x14ac:dyDescent="0.2">
      <c r="A1" s="65" t="s">
        <v>25</v>
      </c>
      <c r="B1" s="65" t="s">
        <v>26</v>
      </c>
      <c r="C1" s="65" t="s">
        <v>27</v>
      </c>
      <c r="D1" s="65" t="s">
        <v>142</v>
      </c>
      <c r="E1" s="65" t="s">
        <v>28</v>
      </c>
      <c r="F1" s="65" t="s">
        <v>29</v>
      </c>
      <c r="G1" s="65" t="s">
        <v>30</v>
      </c>
      <c r="H1" s="65" t="s">
        <v>31</v>
      </c>
      <c r="I1" s="65" t="s">
        <v>32</v>
      </c>
      <c r="J1" s="65" t="s">
        <v>33</v>
      </c>
      <c r="K1" s="65" t="s">
        <v>183</v>
      </c>
    </row>
    <row r="2" spans="1:11" ht="15" customHeight="1" x14ac:dyDescent="0.2">
      <c r="A2" s="66" t="str">
        <f>[1]Portfolio!A2</f>
        <v>Repo-01</v>
      </c>
      <c r="B2" s="66" t="str">
        <f>[1]Portfolio!B2</f>
        <v>Repo-style transactions</v>
      </c>
      <c r="C2" s="66" t="str">
        <f>[1]Portfolio!C2</f>
        <v>ABC Broker-Dealer</v>
      </c>
      <c r="D2" s="67" t="s">
        <v>211</v>
      </c>
      <c r="E2" s="68">
        <f>[1]Portfolio!D2</f>
        <v>420</v>
      </c>
      <c r="F2" s="68">
        <f>[1]Portfolio!E2</f>
        <v>435</v>
      </c>
      <c r="G2" s="69">
        <f>[1]Portfolio!F2</f>
        <v>0.02</v>
      </c>
      <c r="H2" s="69">
        <f>[1]Portfolio!G2</f>
        <v>0.2</v>
      </c>
      <c r="I2" s="68">
        <f>[1]Portfolio!H2</f>
        <v>0</v>
      </c>
      <c r="J2" s="68">
        <f>[1]Portfolio!I2</f>
        <v>0</v>
      </c>
      <c r="K2" s="66" t="str">
        <f>[1]Portfolio!J2</f>
        <v>N</v>
      </c>
    </row>
    <row r="3" spans="1:11" ht="15" customHeight="1" x14ac:dyDescent="0.2">
      <c r="A3" s="66" t="str">
        <f>[1]Portfolio!A3</f>
        <v>Repo-02</v>
      </c>
      <c r="B3" s="66" t="str">
        <f>[1]Portfolio!B3</f>
        <v>Repo-style transactions</v>
      </c>
      <c r="C3" s="66" t="str">
        <f>[1]Portfolio!C3</f>
        <v>DEF Broker-Dealer</v>
      </c>
      <c r="D3" s="67" t="s">
        <v>211</v>
      </c>
      <c r="E3" s="68">
        <f>[1]Portfolio!D3</f>
        <v>310</v>
      </c>
      <c r="F3" s="68">
        <f>[1]Portfolio!E3</f>
        <v>318</v>
      </c>
      <c r="G3" s="69">
        <f>[1]Portfolio!F3</f>
        <v>0.02</v>
      </c>
      <c r="H3" s="69">
        <f>[1]Portfolio!G3</f>
        <v>0.2</v>
      </c>
      <c r="I3" s="68">
        <f>[1]Portfolio!H3</f>
        <v>0</v>
      </c>
      <c r="J3" s="68">
        <f>[1]Portfolio!I3</f>
        <v>0</v>
      </c>
      <c r="K3" s="66" t="str">
        <f>[1]Portfolio!J3</f>
        <v>N</v>
      </c>
    </row>
    <row r="4" spans="1:11" ht="15" customHeight="1" x14ac:dyDescent="0.2">
      <c r="A4" s="66" t="str">
        <f>[1]Portfolio!A4</f>
        <v>Repo-03</v>
      </c>
      <c r="B4" s="66" t="str">
        <f>[1]Portfolio!B4</f>
        <v>Repo-style transactions</v>
      </c>
      <c r="C4" s="66" t="str">
        <f>[1]Portfolio!C4</f>
        <v>GHI Sponsored Repo Client (FICC)</v>
      </c>
      <c r="D4" s="67" t="s">
        <v>211</v>
      </c>
      <c r="E4" s="68">
        <f>[1]Portfolio!D4</f>
        <v>260</v>
      </c>
      <c r="F4" s="68">
        <f>[1]Portfolio!E4</f>
        <v>268</v>
      </c>
      <c r="G4" s="69">
        <f>[1]Portfolio!F4</f>
        <v>0.02</v>
      </c>
      <c r="H4" s="69">
        <f>[1]Portfolio!G4</f>
        <v>0.2</v>
      </c>
      <c r="I4" s="68">
        <f>[1]Portfolio!H4</f>
        <v>0</v>
      </c>
      <c r="J4" s="68">
        <f>[1]Portfolio!I4</f>
        <v>0</v>
      </c>
      <c r="K4" s="66" t="str">
        <f>[1]Portfolio!J4</f>
        <v>N</v>
      </c>
    </row>
    <row r="5" spans="1:11" ht="15" customHeight="1" x14ac:dyDescent="0.2">
      <c r="A5" s="66" t="str">
        <f>[1]Portfolio!A5</f>
        <v>Repo-04</v>
      </c>
      <c r="B5" s="66" t="str">
        <f>[1]Portfolio!B5</f>
        <v>Repo-style transactions</v>
      </c>
      <c r="C5" s="66" t="str">
        <f>[1]Portfolio!C5</f>
        <v>JKL Sponsored Repo Client (FICC)</v>
      </c>
      <c r="D5" s="67" t="s">
        <v>211</v>
      </c>
      <c r="E5" s="68">
        <f>[1]Portfolio!D5</f>
        <v>180</v>
      </c>
      <c r="F5" s="68">
        <f>[1]Portfolio!E5</f>
        <v>185</v>
      </c>
      <c r="G5" s="69">
        <f>[1]Portfolio!F5</f>
        <v>0.02</v>
      </c>
      <c r="H5" s="69">
        <f>[1]Portfolio!G5</f>
        <v>0.2</v>
      </c>
      <c r="I5" s="68">
        <f>[1]Portfolio!H5</f>
        <v>0</v>
      </c>
      <c r="J5" s="68">
        <f>[1]Portfolio!I5</f>
        <v>0</v>
      </c>
      <c r="K5" s="66" t="str">
        <f>[1]Portfolio!J5</f>
        <v>N</v>
      </c>
    </row>
    <row r="6" spans="1:11" ht="15" customHeight="1" x14ac:dyDescent="0.2">
      <c r="A6" s="66" t="str">
        <f>[1]Portfolio!A6</f>
        <v>Deriv-01</v>
      </c>
      <c r="B6" s="66" t="str">
        <f>[1]Portfolio!B6</f>
        <v>OTC derivatives</v>
      </c>
      <c r="C6" s="66" t="str">
        <f>[1]Portfolio!C6</f>
        <v>MNO Asset Manager - FX fwd</v>
      </c>
      <c r="D6" s="67" t="s">
        <v>211</v>
      </c>
      <c r="E6" s="68">
        <f>[1]Portfolio!D6</f>
        <v>150</v>
      </c>
      <c r="F6" s="68">
        <f>[1]Portfolio!E6</f>
        <v>90</v>
      </c>
      <c r="G6" s="69">
        <f>[1]Portfolio!F6</f>
        <v>0.05</v>
      </c>
      <c r="H6" s="69">
        <f>[1]Portfolio!G6</f>
        <v>0.5</v>
      </c>
      <c r="I6" s="68">
        <f>[1]Portfolio!H6</f>
        <v>64.5</v>
      </c>
      <c r="J6" s="68">
        <f>[1]Portfolio!I6</f>
        <v>32.25</v>
      </c>
      <c r="K6" s="66" t="str">
        <f>[1]Portfolio!J6</f>
        <v>N</v>
      </c>
    </row>
    <row r="7" spans="1:11" ht="15" customHeight="1" x14ac:dyDescent="0.2">
      <c r="A7" s="66" t="str">
        <f>[1]Portfolio!A7</f>
        <v>Deriv-02</v>
      </c>
      <c r="B7" s="66" t="str">
        <f>[1]Portfolio!B7</f>
        <v>OTC derivatives</v>
      </c>
      <c r="C7" s="66" t="str">
        <f>[1]Portfolio!C7</f>
        <v>PQR Asset Manager - FX swap</v>
      </c>
      <c r="D7" s="67" t="s">
        <v>211</v>
      </c>
      <c r="E7" s="68">
        <f>[1]Portfolio!D7</f>
        <v>130</v>
      </c>
      <c r="F7" s="68">
        <f>[1]Portfolio!E7</f>
        <v>70</v>
      </c>
      <c r="G7" s="69">
        <f>[1]Portfolio!F7</f>
        <v>0.05</v>
      </c>
      <c r="H7" s="69">
        <f>[1]Portfolio!G7</f>
        <v>0.5</v>
      </c>
      <c r="I7" s="68">
        <f>[1]Portfolio!H7</f>
        <v>63.5</v>
      </c>
      <c r="J7" s="68">
        <f>[1]Portfolio!I7</f>
        <v>31.75</v>
      </c>
      <c r="K7" s="66" t="str">
        <f>[1]Portfolio!J7</f>
        <v>N</v>
      </c>
    </row>
    <row r="8" spans="1:11" ht="15" customHeight="1" x14ac:dyDescent="0.2">
      <c r="A8" s="66" t="str">
        <f>[1]Portfolio!A8</f>
        <v>Deriv-03</v>
      </c>
      <c r="B8" s="66" t="str">
        <f>[1]Portfolio!B8</f>
        <v>OTC derivatives</v>
      </c>
      <c r="C8" s="66" t="str">
        <f>[1]Portfolio!C8</f>
        <v>STU Pension Fund - IR swap</v>
      </c>
      <c r="D8" s="67" t="s">
        <v>211</v>
      </c>
      <c r="E8" s="68">
        <f>[1]Portfolio!D8</f>
        <v>95</v>
      </c>
      <c r="F8" s="68">
        <f>[1]Portfolio!E8</f>
        <v>40</v>
      </c>
      <c r="G8" s="69">
        <f>[1]Portfolio!F8</f>
        <v>0.05</v>
      </c>
      <c r="H8" s="69">
        <f>[1]Portfolio!G8</f>
        <v>0.5</v>
      </c>
      <c r="I8" s="68">
        <f>[1]Portfolio!H8</f>
        <v>57</v>
      </c>
      <c r="J8" s="68">
        <f>[1]Portfolio!I8</f>
        <v>28.5</v>
      </c>
      <c r="K8" s="66" t="str">
        <f>[1]Portfolio!J8</f>
        <v>N</v>
      </c>
    </row>
    <row r="9" spans="1:11" ht="15" customHeight="1" x14ac:dyDescent="0.2">
      <c r="A9" s="66" t="str">
        <f>[1]Portfolio!A9</f>
        <v>Deriv-04</v>
      </c>
      <c r="B9" s="66" t="str">
        <f>[1]Portfolio!B9</f>
        <v>OTC derivatives</v>
      </c>
      <c r="C9" s="66" t="str">
        <f>[1]Portfolio!C9</f>
        <v>VWX Sovereign Fund - FX fwd</v>
      </c>
      <c r="D9" s="67" t="s">
        <v>211</v>
      </c>
      <c r="E9" s="68">
        <f>[1]Portfolio!D9</f>
        <v>80</v>
      </c>
      <c r="F9" s="68">
        <f>[1]Portfolio!E9</f>
        <v>45</v>
      </c>
      <c r="G9" s="69">
        <f>[1]Portfolio!F9</f>
        <v>0.05</v>
      </c>
      <c r="H9" s="69">
        <f>[1]Portfolio!G9</f>
        <v>0.2</v>
      </c>
      <c r="I9" s="68">
        <f>[1]Portfolio!H9</f>
        <v>37.25</v>
      </c>
      <c r="J9" s="68">
        <f>[1]Portfolio!I9</f>
        <v>7.45</v>
      </c>
      <c r="K9" s="66" t="str">
        <f>[1]Portfolio!J9</f>
        <v>N</v>
      </c>
    </row>
    <row r="10" spans="1:11" ht="15" customHeight="1" x14ac:dyDescent="0.2">
      <c r="A10" s="66" t="str">
        <f>[1]Portfolio!A10</f>
        <v>Loan-01</v>
      </c>
      <c r="B10" s="66" t="str">
        <f>[1]Portfolio!B10</f>
        <v>Loans</v>
      </c>
      <c r="C10" s="66" t="str">
        <f>[1]Portfolio!C10</f>
        <v>YZ Corp</v>
      </c>
      <c r="D10" s="67" t="s">
        <v>211</v>
      </c>
      <c r="E10" s="68">
        <f>[1]Portfolio!D10</f>
        <v>60</v>
      </c>
      <c r="F10" s="68">
        <f>[1]Portfolio!E10</f>
        <v>20</v>
      </c>
      <c r="G10" s="69">
        <f>[1]Portfolio!F10</f>
        <v>0.1</v>
      </c>
      <c r="H10" s="69">
        <f>[1]Portfolio!G10</f>
        <v>1</v>
      </c>
      <c r="I10" s="68">
        <f>[1]Portfolio!H10</f>
        <v>42</v>
      </c>
      <c r="J10" s="68">
        <f>[1]Portfolio!I10</f>
        <v>42</v>
      </c>
      <c r="K10" s="66" t="str">
        <f>[1]Portfolio!J10</f>
        <v>N</v>
      </c>
    </row>
    <row r="11" spans="1:11" ht="15" customHeight="1" x14ac:dyDescent="0.2">
      <c r="A11" s="66" t="str">
        <f>[1]Portfolio!A11</f>
        <v>Loan-02</v>
      </c>
      <c r="B11" s="66" t="str">
        <f>[1]Portfolio!B11</f>
        <v>Loans</v>
      </c>
      <c r="C11" s="66" t="str">
        <f>[1]Portfolio!C11</f>
        <v>12 Corp</v>
      </c>
      <c r="D11" s="67" t="s">
        <v>211</v>
      </c>
      <c r="E11" s="68">
        <f>[1]Portfolio!D11</f>
        <v>45</v>
      </c>
      <c r="F11" s="68">
        <f>[1]Portfolio!E11</f>
        <v>15</v>
      </c>
      <c r="G11" s="69">
        <f>[1]Portfolio!F11</f>
        <v>0.1</v>
      </c>
      <c r="H11" s="69">
        <f>[1]Portfolio!G11</f>
        <v>1</v>
      </c>
      <c r="I11" s="68">
        <f>[1]Portfolio!H11</f>
        <v>31.5</v>
      </c>
      <c r="J11" s="68">
        <f>[1]Portfolio!I11</f>
        <v>31.5</v>
      </c>
      <c r="K11" s="66" t="str">
        <f>[1]Portfolio!J11</f>
        <v>N</v>
      </c>
    </row>
    <row r="12" spans="1:11" ht="15" customHeight="1" x14ac:dyDescent="0.2">
      <c r="A12" s="66" t="str">
        <f>[1]Portfolio!A12</f>
        <v>Loan-03</v>
      </c>
      <c r="B12" s="66" t="str">
        <f>[1]Portfolio!B12</f>
        <v>Loans</v>
      </c>
      <c r="C12" s="66" t="str">
        <f>[1]Portfolio!C12</f>
        <v>34 Real Estate LLC</v>
      </c>
      <c r="D12" s="67" t="s">
        <v>211</v>
      </c>
      <c r="E12" s="68">
        <f>[1]Portfolio!D12</f>
        <v>35</v>
      </c>
      <c r="F12" s="68">
        <f>[1]Portfolio!E12</f>
        <v>10</v>
      </c>
      <c r="G12" s="69">
        <f>[1]Portfolio!F12</f>
        <v>0.1</v>
      </c>
      <c r="H12" s="69">
        <f>[1]Portfolio!G12</f>
        <v>1</v>
      </c>
      <c r="I12" s="68">
        <f>[1]Portfolio!H12</f>
        <v>26</v>
      </c>
      <c r="J12" s="68">
        <f>[1]Portfolio!I12</f>
        <v>26</v>
      </c>
      <c r="K12" s="66" t="str">
        <f>[1]Portfolio!J12</f>
        <v>N</v>
      </c>
    </row>
    <row r="13" spans="1:11" ht="15" customHeight="1" x14ac:dyDescent="0.2">
      <c r="A13" s="66" t="str">
        <f>[1]Portfolio!A13</f>
        <v>Sec-01</v>
      </c>
      <c r="B13" s="66" t="str">
        <f>[1]Portfolio!B13</f>
        <v>Securitization</v>
      </c>
      <c r="C13" s="66" t="str">
        <f>[1]Portfolio!C13</f>
        <v>56 ABS Tranche</v>
      </c>
      <c r="D13" s="67" t="s">
        <v>211</v>
      </c>
      <c r="E13" s="68">
        <f>[1]Portfolio!D13</f>
        <v>25</v>
      </c>
      <c r="F13" s="68">
        <f>[1]Portfolio!E13</f>
        <v>5</v>
      </c>
      <c r="G13" s="69">
        <f>[1]Portfolio!F13</f>
        <v>0.03</v>
      </c>
      <c r="H13" s="69">
        <f>[1]Portfolio!G13</f>
        <v>0.75</v>
      </c>
      <c r="I13" s="68">
        <f>[1]Portfolio!H13</f>
        <v>20.149999999999999</v>
      </c>
      <c r="J13" s="68">
        <f>[1]Portfolio!I13</f>
        <v>15.112499999999999</v>
      </c>
      <c r="K13" s="66" t="str">
        <f>[1]Portfolio!J13</f>
        <v>Y</v>
      </c>
    </row>
    <row r="14" spans="1:11" ht="15" customHeight="1" x14ac:dyDescent="0.2">
      <c r="A14" s="66" t="str">
        <f>[1]Portfolio!A14</f>
        <v>Sec-02</v>
      </c>
      <c r="B14" s="66" t="str">
        <f>[1]Portfolio!B14</f>
        <v>Securitization</v>
      </c>
      <c r="C14" s="66" t="str">
        <f>[1]Portfolio!C14</f>
        <v>78 ABS Tranche</v>
      </c>
      <c r="D14" s="67" t="s">
        <v>211</v>
      </c>
      <c r="E14" s="68">
        <f>[1]Portfolio!D14</f>
        <v>20</v>
      </c>
      <c r="F14" s="68">
        <f>[1]Portfolio!E14</f>
        <v>4</v>
      </c>
      <c r="G14" s="69">
        <f>[1]Portfolio!F14</f>
        <v>0.03</v>
      </c>
      <c r="H14" s="69">
        <f>[1]Portfolio!G14</f>
        <v>0.75</v>
      </c>
      <c r="I14" s="68">
        <f>[1]Portfolio!H14</f>
        <v>16.12</v>
      </c>
      <c r="J14" s="68">
        <f>[1]Portfolio!I14</f>
        <v>12.09</v>
      </c>
      <c r="K14" s="66" t="str">
        <f>[1]Portfolio!J14</f>
        <v>Y</v>
      </c>
    </row>
    <row r="15" spans="1:11" ht="15" customHeight="1" x14ac:dyDescent="0.2">
      <c r="A15" s="66" t="str">
        <f>[1]Portfolio!A15</f>
        <v>Indem-01</v>
      </c>
      <c r="B15" s="66" t="str">
        <f>[1]Portfolio!B15</f>
        <v>Indemnified securities financing</v>
      </c>
      <c r="C15" s="66" t="str">
        <f>[1]Portfolio!C15</f>
        <v>910 Agency Lending Client</v>
      </c>
      <c r="D15" s="67" t="s">
        <v>211</v>
      </c>
      <c r="E15" s="68">
        <f>[1]Portfolio!D15</f>
        <v>300</v>
      </c>
      <c r="F15" s="68">
        <f>[1]Portfolio!E15</f>
        <v>315</v>
      </c>
      <c r="G15" s="69">
        <f>[1]Portfolio!F15</f>
        <v>0.02</v>
      </c>
      <c r="H15" s="69">
        <f>[1]Portfolio!G15</f>
        <v>0.2</v>
      </c>
      <c r="I15" s="68">
        <f>[1]Portfolio!H15</f>
        <v>0</v>
      </c>
      <c r="J15" s="68">
        <f>[1]Portfolio!I15</f>
        <v>0</v>
      </c>
      <c r="K15" s="66" t="str">
        <f>[1]Portfolio!J15</f>
        <v>Y</v>
      </c>
    </row>
    <row r="16" spans="1:11" ht="15" customHeight="1" x14ac:dyDescent="0.2">
      <c r="A16" s="66" t="str">
        <f>[1]Portfolio!A16</f>
        <v>Indem-02</v>
      </c>
      <c r="B16" s="66" t="str">
        <f>[1]Portfolio!B16</f>
        <v>Indemnified securities financing</v>
      </c>
      <c r="C16" s="66" t="str">
        <f>[1]Portfolio!C16</f>
        <v>11 Agency Lending Client</v>
      </c>
      <c r="D16" s="67" t="s">
        <v>211</v>
      </c>
      <c r="E16" s="68">
        <f>[1]Portfolio!D16</f>
        <v>220</v>
      </c>
      <c r="F16" s="68">
        <f>[1]Portfolio!E16</f>
        <v>231</v>
      </c>
      <c r="G16" s="69">
        <f>[1]Portfolio!F16</f>
        <v>0.02</v>
      </c>
      <c r="H16" s="69">
        <f>[1]Portfolio!G16</f>
        <v>0.2</v>
      </c>
      <c r="I16" s="68">
        <f>[1]Portfolio!H16</f>
        <v>0</v>
      </c>
      <c r="J16" s="68">
        <f>[1]Portfolio!I16</f>
        <v>0</v>
      </c>
      <c r="K16" s="66" t="str">
        <f>[1]Portfolio!J16</f>
        <v>Y</v>
      </c>
    </row>
    <row r="17" spans="1:11" ht="15" customHeight="1" x14ac:dyDescent="0.2">
      <c r="A17" s="66" t="str">
        <f>[1]Portfolio!A17</f>
        <v>Indem-03</v>
      </c>
      <c r="B17" s="66" t="str">
        <f>[1]Portfolio!B17</f>
        <v>Indemnified securities financing</v>
      </c>
      <c r="C17" s="66" t="str">
        <f>[1]Portfolio!C17</f>
        <v>12 Hedge Fund (borrower)</v>
      </c>
      <c r="D17" s="67" t="s">
        <v>211</v>
      </c>
      <c r="E17" s="68">
        <f>[1]Portfolio!D17</f>
        <v>150</v>
      </c>
      <c r="F17" s="68">
        <f>[1]Portfolio!E17</f>
        <v>158</v>
      </c>
      <c r="G17" s="69">
        <f>[1]Portfolio!F17</f>
        <v>0.02</v>
      </c>
      <c r="H17" s="69">
        <f>[1]Portfolio!G17</f>
        <v>0.2</v>
      </c>
      <c r="I17" s="68">
        <f>[1]Portfolio!H17</f>
        <v>0</v>
      </c>
      <c r="J17" s="68">
        <f>[1]Portfolio!I17</f>
        <v>0</v>
      </c>
      <c r="K17" s="66" t="str">
        <f>[1]Portfolio!J17</f>
        <v>Y</v>
      </c>
    </row>
    <row r="18" spans="1:11" ht="15" customHeight="1" x14ac:dyDescent="0.2">
      <c r="A18" s="66" t="str">
        <f>[1]Stress_Scenario!A10</f>
        <v>Repo-01</v>
      </c>
      <c r="B18" s="66" t="str">
        <f>[1]Stress_Scenario!B10</f>
        <v>Repo-style transactions</v>
      </c>
      <c r="C18" s="66" t="str">
        <f>[1]Stress_Scenario!C10</f>
        <v>ABC Broker-Dealer</v>
      </c>
      <c r="D18" s="67" t="s">
        <v>212</v>
      </c>
      <c r="E18" s="68">
        <f>[1]Stress_Scenario!D10</f>
        <v>420</v>
      </c>
      <c r="F18" s="68">
        <f>[1]Stress_Scenario!E10</f>
        <v>435</v>
      </c>
      <c r="G18" s="69">
        <f>[1]Stress_Scenario!F10</f>
        <v>7.0000000000000007E-2</v>
      </c>
      <c r="H18" s="69">
        <f>[1]Stress_Scenario!G10</f>
        <v>0.30000000000000004</v>
      </c>
      <c r="I18" s="68">
        <f>[1]Stress_Scenario!H10</f>
        <v>15.450000000000045</v>
      </c>
      <c r="J18" s="68">
        <f>[1]Stress_Scenario!I10</f>
        <v>4.635000000000014</v>
      </c>
      <c r="K18" s="66" t="str">
        <f>INDEX([1]Portfolio!$J$2:$J$17,MATCH(A18,[1]Portfolio!$A$2:$A$17,0))</f>
        <v>N</v>
      </c>
    </row>
    <row r="19" spans="1:11" ht="15" customHeight="1" x14ac:dyDescent="0.2">
      <c r="A19" s="66" t="str">
        <f>[1]Stress_Scenario!A11</f>
        <v>Repo-02</v>
      </c>
      <c r="B19" s="66" t="str">
        <f>[1]Stress_Scenario!B11</f>
        <v>Repo-style transactions</v>
      </c>
      <c r="C19" s="66" t="str">
        <f>[1]Stress_Scenario!C11</f>
        <v>DEF Broker-Dealer</v>
      </c>
      <c r="D19" s="67" t="s">
        <v>212</v>
      </c>
      <c r="E19" s="68">
        <f>[1]Stress_Scenario!D11</f>
        <v>310</v>
      </c>
      <c r="F19" s="68">
        <f>[1]Stress_Scenario!E11</f>
        <v>318</v>
      </c>
      <c r="G19" s="69">
        <f>[1]Stress_Scenario!F11</f>
        <v>7.0000000000000007E-2</v>
      </c>
      <c r="H19" s="69">
        <f>[1]Stress_Scenario!G11</f>
        <v>0.30000000000000004</v>
      </c>
      <c r="I19" s="68">
        <f>[1]Stress_Scenario!H11</f>
        <v>14.260000000000048</v>
      </c>
      <c r="J19" s="68">
        <f>[1]Stress_Scenario!I11</f>
        <v>4.2780000000000147</v>
      </c>
      <c r="K19" s="66" t="str">
        <f>INDEX([1]Portfolio!$J$2:$J$17,MATCH(A19,[1]Portfolio!$A$2:$A$17,0))</f>
        <v>N</v>
      </c>
    </row>
    <row r="20" spans="1:11" ht="15" customHeight="1" x14ac:dyDescent="0.2">
      <c r="A20" s="66" t="str">
        <f>[1]Stress_Scenario!A12</f>
        <v>Repo-03</v>
      </c>
      <c r="B20" s="66" t="str">
        <f>[1]Stress_Scenario!B12</f>
        <v>Repo-style transactions</v>
      </c>
      <c r="C20" s="66" t="str">
        <f>[1]Stress_Scenario!C12</f>
        <v>GHI Sponsored Repo Client (FICC)</v>
      </c>
      <c r="D20" s="67" t="s">
        <v>212</v>
      </c>
      <c r="E20" s="68">
        <f>[1]Stress_Scenario!D12</f>
        <v>260</v>
      </c>
      <c r="F20" s="68">
        <f>[1]Stress_Scenario!E12</f>
        <v>268</v>
      </c>
      <c r="G20" s="69">
        <f>[1]Stress_Scenario!F12</f>
        <v>7.0000000000000007E-2</v>
      </c>
      <c r="H20" s="69">
        <f>[1]Stress_Scenario!G12</f>
        <v>0.30000000000000004</v>
      </c>
      <c r="I20" s="68">
        <f>[1]Stress_Scenario!H12</f>
        <v>10.760000000000019</v>
      </c>
      <c r="J20" s="68">
        <f>[1]Stress_Scenario!I12</f>
        <v>3.2280000000000064</v>
      </c>
      <c r="K20" s="66" t="str">
        <f>INDEX([1]Portfolio!$J$2:$J$17,MATCH(A20,[1]Portfolio!$A$2:$A$17,0))</f>
        <v>N</v>
      </c>
    </row>
    <row r="21" spans="1:11" ht="15" customHeight="1" x14ac:dyDescent="0.2">
      <c r="A21" s="66" t="str">
        <f>[1]Stress_Scenario!A13</f>
        <v>Repo-04</v>
      </c>
      <c r="B21" s="66" t="str">
        <f>[1]Stress_Scenario!B13</f>
        <v>Repo-style transactions</v>
      </c>
      <c r="C21" s="66" t="str">
        <f>[1]Stress_Scenario!C13</f>
        <v>JKL Sponsored Repo Client (FICC)</v>
      </c>
      <c r="D21" s="67" t="s">
        <v>212</v>
      </c>
      <c r="E21" s="68">
        <f>[1]Stress_Scenario!D13</f>
        <v>180</v>
      </c>
      <c r="F21" s="68">
        <f>[1]Stress_Scenario!E13</f>
        <v>185</v>
      </c>
      <c r="G21" s="69">
        <f>[1]Stress_Scenario!F13</f>
        <v>7.0000000000000007E-2</v>
      </c>
      <c r="H21" s="69">
        <f>[1]Stress_Scenario!G13</f>
        <v>0.30000000000000004</v>
      </c>
      <c r="I21" s="68">
        <f>[1]Stress_Scenario!H13</f>
        <v>7.9500000000000171</v>
      </c>
      <c r="J21" s="68">
        <f>[1]Stress_Scenario!I13</f>
        <v>2.3850000000000056</v>
      </c>
      <c r="K21" s="66" t="str">
        <f>INDEX([1]Portfolio!$J$2:$J$17,MATCH(A21,[1]Portfolio!$A$2:$A$17,0))</f>
        <v>N</v>
      </c>
    </row>
    <row r="22" spans="1:11" ht="15" customHeight="1" x14ac:dyDescent="0.2">
      <c r="A22" s="66" t="str">
        <f>[1]Stress_Scenario!A14</f>
        <v>Deriv-01</v>
      </c>
      <c r="B22" s="66" t="str">
        <f>[1]Stress_Scenario!B14</f>
        <v>OTC derivatives</v>
      </c>
      <c r="C22" s="66" t="str">
        <f>[1]Stress_Scenario!C14</f>
        <v>MNO Asset Manager - FX fwd</v>
      </c>
      <c r="D22" s="67" t="s">
        <v>212</v>
      </c>
      <c r="E22" s="68">
        <f>[1]Stress_Scenario!D14</f>
        <v>150</v>
      </c>
      <c r="F22" s="68">
        <f>[1]Stress_Scenario!E14</f>
        <v>90</v>
      </c>
      <c r="G22" s="69">
        <f>[1]Stress_Scenario!F14</f>
        <v>0.1</v>
      </c>
      <c r="H22" s="69">
        <f>[1]Stress_Scenario!G14</f>
        <v>0.6</v>
      </c>
      <c r="I22" s="68">
        <f>[1]Stress_Scenario!H14</f>
        <v>69</v>
      </c>
      <c r="J22" s="68">
        <f>[1]Stress_Scenario!I14</f>
        <v>41.4</v>
      </c>
      <c r="K22" s="66" t="str">
        <f>INDEX([1]Portfolio!$J$2:$J$17,MATCH(A22,[1]Portfolio!$A$2:$A$17,0))</f>
        <v>N</v>
      </c>
    </row>
    <row r="23" spans="1:11" ht="15" customHeight="1" x14ac:dyDescent="0.2">
      <c r="A23" s="66" t="str">
        <f>[1]Stress_Scenario!A15</f>
        <v>Deriv-02</v>
      </c>
      <c r="B23" s="66" t="str">
        <f>[1]Stress_Scenario!B15</f>
        <v>OTC derivatives</v>
      </c>
      <c r="C23" s="66" t="str">
        <f>[1]Stress_Scenario!C15</f>
        <v>PQR Asset Manager - FX swap</v>
      </c>
      <c r="D23" s="67" t="s">
        <v>212</v>
      </c>
      <c r="E23" s="68">
        <f>[1]Stress_Scenario!D15</f>
        <v>130</v>
      </c>
      <c r="F23" s="68">
        <f>[1]Stress_Scenario!E15</f>
        <v>70</v>
      </c>
      <c r="G23" s="69">
        <f>[1]Stress_Scenario!F15</f>
        <v>0.1</v>
      </c>
      <c r="H23" s="69">
        <f>[1]Stress_Scenario!G15</f>
        <v>0.6</v>
      </c>
      <c r="I23" s="68">
        <f>[1]Stress_Scenario!H15</f>
        <v>67</v>
      </c>
      <c r="J23" s="68">
        <f>[1]Stress_Scenario!I15</f>
        <v>40.199999999999996</v>
      </c>
      <c r="K23" s="66" t="str">
        <f>INDEX([1]Portfolio!$J$2:$J$17,MATCH(A23,[1]Portfolio!$A$2:$A$17,0))</f>
        <v>N</v>
      </c>
    </row>
    <row r="24" spans="1:11" ht="15" customHeight="1" x14ac:dyDescent="0.2">
      <c r="A24" s="66" t="str">
        <f>[1]Stress_Scenario!A16</f>
        <v>Deriv-03</v>
      </c>
      <c r="B24" s="66" t="str">
        <f>[1]Stress_Scenario!B16</f>
        <v>OTC derivatives</v>
      </c>
      <c r="C24" s="66" t="str">
        <f>[1]Stress_Scenario!C16</f>
        <v>STU Pension Fund - IR swap</v>
      </c>
      <c r="D24" s="67" t="s">
        <v>212</v>
      </c>
      <c r="E24" s="68">
        <f>[1]Stress_Scenario!D16</f>
        <v>95</v>
      </c>
      <c r="F24" s="68">
        <f>[1]Stress_Scenario!E16</f>
        <v>40</v>
      </c>
      <c r="G24" s="69">
        <f>[1]Stress_Scenario!F16</f>
        <v>0.1</v>
      </c>
      <c r="H24" s="69">
        <f>[1]Stress_Scenario!G16</f>
        <v>0.6</v>
      </c>
      <c r="I24" s="68">
        <f>[1]Stress_Scenario!H16</f>
        <v>59</v>
      </c>
      <c r="J24" s="68">
        <f>[1]Stress_Scenario!I16</f>
        <v>35.4</v>
      </c>
      <c r="K24" s="66" t="str">
        <f>INDEX([1]Portfolio!$J$2:$J$17,MATCH(A24,[1]Portfolio!$A$2:$A$17,0))</f>
        <v>N</v>
      </c>
    </row>
    <row r="25" spans="1:11" ht="15" customHeight="1" x14ac:dyDescent="0.2">
      <c r="A25" s="66" t="str">
        <f>[1]Stress_Scenario!A17</f>
        <v>Deriv-04</v>
      </c>
      <c r="B25" s="66" t="str">
        <f>[1]Stress_Scenario!B17</f>
        <v>OTC derivatives</v>
      </c>
      <c r="C25" s="66" t="str">
        <f>[1]Stress_Scenario!C17</f>
        <v>VWX Sovereign Fund - FX fwd</v>
      </c>
      <c r="D25" s="67" t="s">
        <v>212</v>
      </c>
      <c r="E25" s="68">
        <f>[1]Stress_Scenario!D17</f>
        <v>80</v>
      </c>
      <c r="F25" s="68">
        <f>[1]Stress_Scenario!E17</f>
        <v>45</v>
      </c>
      <c r="G25" s="69">
        <f>[1]Stress_Scenario!F17</f>
        <v>0.1</v>
      </c>
      <c r="H25" s="69">
        <f>[1]Stress_Scenario!G17</f>
        <v>0.30000000000000004</v>
      </c>
      <c r="I25" s="68">
        <f>[1]Stress_Scenario!H17</f>
        <v>39.5</v>
      </c>
      <c r="J25" s="68">
        <f>[1]Stress_Scenario!I17</f>
        <v>11.850000000000001</v>
      </c>
      <c r="K25" s="66" t="str">
        <f>INDEX([1]Portfolio!$J$2:$J$17,MATCH(A25,[1]Portfolio!$A$2:$A$17,0))</f>
        <v>N</v>
      </c>
    </row>
    <row r="26" spans="1:11" ht="15" customHeight="1" x14ac:dyDescent="0.2">
      <c r="A26" s="66" t="str">
        <f>[1]Stress_Scenario!A18</f>
        <v>Loan-01</v>
      </c>
      <c r="B26" s="66" t="str">
        <f>[1]Stress_Scenario!B18</f>
        <v>Loans</v>
      </c>
      <c r="C26" s="66" t="str">
        <f>[1]Stress_Scenario!C18</f>
        <v>YZ Corp</v>
      </c>
      <c r="D26" s="67" t="s">
        <v>212</v>
      </c>
      <c r="E26" s="68">
        <f>[1]Stress_Scenario!D18</f>
        <v>60</v>
      </c>
      <c r="F26" s="68">
        <f>[1]Stress_Scenario!E18</f>
        <v>20</v>
      </c>
      <c r="G26" s="69">
        <f>[1]Stress_Scenario!F18</f>
        <v>0.15000000000000002</v>
      </c>
      <c r="H26" s="69">
        <f>[1]Stress_Scenario!G18</f>
        <v>1</v>
      </c>
      <c r="I26" s="68">
        <f>[1]Stress_Scenario!H18</f>
        <v>43</v>
      </c>
      <c r="J26" s="68">
        <f>[1]Stress_Scenario!I18</f>
        <v>43</v>
      </c>
      <c r="K26" s="66" t="str">
        <f>INDEX([1]Portfolio!$J$2:$J$17,MATCH(A26,[1]Portfolio!$A$2:$A$17,0))</f>
        <v>N</v>
      </c>
    </row>
    <row r="27" spans="1:11" ht="15" customHeight="1" x14ac:dyDescent="0.2">
      <c r="A27" s="66" t="str">
        <f>[1]Stress_Scenario!A19</f>
        <v>Loan-02</v>
      </c>
      <c r="B27" s="66" t="str">
        <f>[1]Stress_Scenario!B19</f>
        <v>Loans</v>
      </c>
      <c r="C27" s="66" t="str">
        <f>[1]Stress_Scenario!C19</f>
        <v>12 Corp</v>
      </c>
      <c r="D27" s="67" t="s">
        <v>212</v>
      </c>
      <c r="E27" s="68">
        <f>[1]Stress_Scenario!D19</f>
        <v>45</v>
      </c>
      <c r="F27" s="68">
        <f>[1]Stress_Scenario!E19</f>
        <v>15</v>
      </c>
      <c r="G27" s="69">
        <f>[1]Stress_Scenario!F19</f>
        <v>0.15000000000000002</v>
      </c>
      <c r="H27" s="69">
        <f>[1]Stress_Scenario!G19</f>
        <v>1</v>
      </c>
      <c r="I27" s="68">
        <f>[1]Stress_Scenario!H19</f>
        <v>32.25</v>
      </c>
      <c r="J27" s="68">
        <f>[1]Stress_Scenario!I19</f>
        <v>32.25</v>
      </c>
      <c r="K27" s="66" t="str">
        <f>INDEX([1]Portfolio!$J$2:$J$17,MATCH(A27,[1]Portfolio!$A$2:$A$17,0))</f>
        <v>N</v>
      </c>
    </row>
    <row r="28" spans="1:11" ht="15" customHeight="1" x14ac:dyDescent="0.2">
      <c r="A28" s="66" t="str">
        <f>[1]Stress_Scenario!A20</f>
        <v>Loan-03</v>
      </c>
      <c r="B28" s="66" t="str">
        <f>[1]Stress_Scenario!B20</f>
        <v>Loans</v>
      </c>
      <c r="C28" s="66" t="str">
        <f>[1]Stress_Scenario!C20</f>
        <v>34 Real Estate LLC</v>
      </c>
      <c r="D28" s="67" t="s">
        <v>212</v>
      </c>
      <c r="E28" s="68">
        <f>[1]Stress_Scenario!D20</f>
        <v>35</v>
      </c>
      <c r="F28" s="68">
        <f>[1]Stress_Scenario!E20</f>
        <v>10</v>
      </c>
      <c r="G28" s="69">
        <f>[1]Stress_Scenario!F20</f>
        <v>0.15000000000000002</v>
      </c>
      <c r="H28" s="69">
        <f>[1]Stress_Scenario!G20</f>
        <v>1</v>
      </c>
      <c r="I28" s="68">
        <f>[1]Stress_Scenario!H20</f>
        <v>26.5</v>
      </c>
      <c r="J28" s="68">
        <f>[1]Stress_Scenario!I20</f>
        <v>26.5</v>
      </c>
      <c r="K28" s="66" t="str">
        <f>INDEX([1]Portfolio!$J$2:$J$17,MATCH(A28,[1]Portfolio!$A$2:$A$17,0))</f>
        <v>N</v>
      </c>
    </row>
    <row r="29" spans="1:11" ht="15" customHeight="1" x14ac:dyDescent="0.2">
      <c r="A29" s="66" t="str">
        <f>[1]Stress_Scenario!A21</f>
        <v>Sec-01</v>
      </c>
      <c r="B29" s="66" t="str">
        <f>[1]Stress_Scenario!B21</f>
        <v>Securitization</v>
      </c>
      <c r="C29" s="66" t="str">
        <f>[1]Stress_Scenario!C21</f>
        <v>56 ABS Tranche</v>
      </c>
      <c r="D29" s="67" t="s">
        <v>212</v>
      </c>
      <c r="E29" s="68">
        <f>[1]Stress_Scenario!D21</f>
        <v>25</v>
      </c>
      <c r="F29" s="68">
        <f>[1]Stress_Scenario!E21</f>
        <v>2.5</v>
      </c>
      <c r="G29" s="69">
        <f>[1]Stress_Scenario!F21</f>
        <v>0.08</v>
      </c>
      <c r="H29" s="69">
        <f>[1]Stress_Scenario!G21</f>
        <v>0.85</v>
      </c>
      <c r="I29" s="68">
        <f>[1]Stress_Scenario!H21</f>
        <v>22.7</v>
      </c>
      <c r="J29" s="68">
        <f>[1]Stress_Scenario!I21</f>
        <v>19.294999999999998</v>
      </c>
      <c r="K29" s="66" t="str">
        <f>INDEX([1]Portfolio!$J$2:$J$17,MATCH(A29,[1]Portfolio!$A$2:$A$17,0))</f>
        <v>Y</v>
      </c>
    </row>
    <row r="30" spans="1:11" ht="15" customHeight="1" x14ac:dyDescent="0.2">
      <c r="A30" s="66" t="str">
        <f>[1]Stress_Scenario!A22</f>
        <v>Sec-02</v>
      </c>
      <c r="B30" s="66" t="str">
        <f>[1]Stress_Scenario!B22</f>
        <v>Securitization</v>
      </c>
      <c r="C30" s="66" t="str">
        <f>[1]Stress_Scenario!C22</f>
        <v>78 ABS Tranche</v>
      </c>
      <c r="D30" s="67" t="s">
        <v>212</v>
      </c>
      <c r="E30" s="68">
        <f>[1]Stress_Scenario!D22</f>
        <v>20</v>
      </c>
      <c r="F30" s="68">
        <f>[1]Stress_Scenario!E22</f>
        <v>2</v>
      </c>
      <c r="G30" s="69">
        <f>[1]Stress_Scenario!F22</f>
        <v>0.08</v>
      </c>
      <c r="H30" s="69">
        <f>[1]Stress_Scenario!G22</f>
        <v>0.85</v>
      </c>
      <c r="I30" s="68">
        <f>[1]Stress_Scenario!H22</f>
        <v>18.16</v>
      </c>
      <c r="J30" s="68">
        <f>[1]Stress_Scenario!I22</f>
        <v>15.436</v>
      </c>
      <c r="K30" s="66" t="str">
        <f>INDEX([1]Portfolio!$J$2:$J$17,MATCH(A30,[1]Portfolio!$A$2:$A$17,0))</f>
        <v>Y</v>
      </c>
    </row>
    <row r="31" spans="1:11" ht="15" customHeight="1" x14ac:dyDescent="0.2">
      <c r="A31" s="66" t="str">
        <f>[1]Stress_Scenario!A23</f>
        <v>Indem-01</v>
      </c>
      <c r="B31" s="66" t="str">
        <f>[1]Stress_Scenario!B23</f>
        <v>Indemnified securities financing</v>
      </c>
      <c r="C31" s="66" t="str">
        <f>[1]Stress_Scenario!C23</f>
        <v>910 Agency Lending Client</v>
      </c>
      <c r="D31" s="67" t="s">
        <v>212</v>
      </c>
      <c r="E31" s="68">
        <f>[1]Stress_Scenario!D23</f>
        <v>300</v>
      </c>
      <c r="F31" s="68">
        <f>[1]Stress_Scenario!E23</f>
        <v>157.5</v>
      </c>
      <c r="G31" s="69">
        <f>[1]Stress_Scenario!F23</f>
        <v>7.0000000000000007E-2</v>
      </c>
      <c r="H31" s="69">
        <f>[1]Stress_Scenario!G23</f>
        <v>0.30000000000000004</v>
      </c>
      <c r="I31" s="68">
        <f>[1]Stress_Scenario!H23</f>
        <v>153.52500000000001</v>
      </c>
      <c r="J31" s="68">
        <f>[1]Stress_Scenario!I23</f>
        <v>46.057500000000012</v>
      </c>
      <c r="K31" s="66" t="str">
        <f>INDEX([1]Portfolio!$J$2:$J$17,MATCH(A31,[1]Portfolio!$A$2:$A$17,0))</f>
        <v>Y</v>
      </c>
    </row>
    <row r="32" spans="1:11" ht="15" customHeight="1" x14ac:dyDescent="0.2">
      <c r="A32" s="66" t="str">
        <f>[1]Stress_Scenario!A24</f>
        <v>Indem-02</v>
      </c>
      <c r="B32" s="66" t="str">
        <f>[1]Stress_Scenario!B24</f>
        <v>Indemnified securities financing</v>
      </c>
      <c r="C32" s="66" t="str">
        <f>[1]Stress_Scenario!C24</f>
        <v>11 Agency Lending Client</v>
      </c>
      <c r="D32" s="67" t="s">
        <v>212</v>
      </c>
      <c r="E32" s="68">
        <f>[1]Stress_Scenario!D24</f>
        <v>220</v>
      </c>
      <c r="F32" s="68">
        <f>[1]Stress_Scenario!E24</f>
        <v>115.5</v>
      </c>
      <c r="G32" s="69">
        <f>[1]Stress_Scenario!F24</f>
        <v>7.0000000000000007E-2</v>
      </c>
      <c r="H32" s="69">
        <f>[1]Stress_Scenario!G24</f>
        <v>0.30000000000000004</v>
      </c>
      <c r="I32" s="68">
        <f>[1]Stress_Scenario!H24</f>
        <v>112.58500000000001</v>
      </c>
      <c r="J32" s="68">
        <f>[1]Stress_Scenario!I24</f>
        <v>33.775500000000008</v>
      </c>
      <c r="K32" s="66" t="str">
        <f>INDEX([1]Portfolio!$J$2:$J$17,MATCH(A32,[1]Portfolio!$A$2:$A$17,0))</f>
        <v>Y</v>
      </c>
    </row>
    <row r="33" spans="1:11" ht="15" customHeight="1" x14ac:dyDescent="0.2">
      <c r="A33" s="66" t="str">
        <f>[1]Stress_Scenario!A25</f>
        <v>Indem-03</v>
      </c>
      <c r="B33" s="66" t="str">
        <f>[1]Stress_Scenario!B25</f>
        <v>Indemnified securities financing</v>
      </c>
      <c r="C33" s="66" t="str">
        <f>[1]Stress_Scenario!C25</f>
        <v>12 Hedge Fund (borrower)</v>
      </c>
      <c r="D33" s="67" t="s">
        <v>212</v>
      </c>
      <c r="E33" s="68">
        <f>[1]Stress_Scenario!D25</f>
        <v>150</v>
      </c>
      <c r="F33" s="68">
        <f>[1]Stress_Scenario!E25</f>
        <v>79</v>
      </c>
      <c r="G33" s="69">
        <f>[1]Stress_Scenario!F25</f>
        <v>7.0000000000000007E-2</v>
      </c>
      <c r="H33" s="69">
        <f>[1]Stress_Scenario!G25</f>
        <v>0.30000000000000004</v>
      </c>
      <c r="I33" s="68">
        <f>[1]Stress_Scenario!H25</f>
        <v>76.53</v>
      </c>
      <c r="J33" s="68">
        <f>[1]Stress_Scenario!I25</f>
        <v>22.959000000000003</v>
      </c>
      <c r="K33" s="66" t="str">
        <f>INDEX([1]Portfolio!$J$2:$J$17,MATCH(A33,[1]Portfolio!$A$2:$A$17,0))</f>
        <v>Y</v>
      </c>
    </row>
    <row r="35" spans="1:11" ht="30" customHeight="1" x14ac:dyDescent="0.2">
      <c r="A35" s="70" t="s">
        <v>213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</row>
  </sheetData>
  <mergeCells count="1">
    <mergeCell ref="A35:K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86D6-E5FB-B346-B9CF-4826B3F260D2}">
  <dimension ref="A1:E31"/>
  <sheetViews>
    <sheetView tabSelected="1" workbookViewId="0">
      <selection activeCell="G31" sqref="G31"/>
    </sheetView>
  </sheetViews>
  <sheetFormatPr baseColWidth="10" defaultColWidth="8.6640625" defaultRowHeight="14" x14ac:dyDescent="0.15"/>
  <cols>
    <col min="1" max="1" width="46" style="3" customWidth="1"/>
    <col min="2" max="2" width="16" style="3" customWidth="1"/>
    <col min="3" max="3" width="18" style="3" customWidth="1"/>
    <col min="4" max="4" width="14" style="3" customWidth="1"/>
    <col min="5" max="5" width="16" style="3" customWidth="1"/>
    <col min="6" max="16384" width="8.6640625" style="3"/>
  </cols>
  <sheetData>
    <row r="1" spans="1:5" ht="17" x14ac:dyDescent="0.2">
      <c r="A1" s="42" t="s">
        <v>214</v>
      </c>
    </row>
    <row r="2" spans="1:5" ht="15" customHeight="1" x14ac:dyDescent="0.15">
      <c r="A2" s="71"/>
    </row>
    <row r="4" spans="1:5" ht="15" customHeight="1" x14ac:dyDescent="0.15">
      <c r="A4" s="2" t="s">
        <v>215</v>
      </c>
    </row>
    <row r="5" spans="1:5" ht="30" x14ac:dyDescent="0.15">
      <c r="A5" s="72" t="s">
        <v>26</v>
      </c>
      <c r="B5" s="72" t="s">
        <v>216</v>
      </c>
      <c r="C5" s="72" t="s">
        <v>217</v>
      </c>
      <c r="D5" s="72" t="s">
        <v>218</v>
      </c>
      <c r="E5" s="72" t="s">
        <v>219</v>
      </c>
    </row>
    <row r="6" spans="1:5" ht="15" customHeight="1" x14ac:dyDescent="0.15">
      <c r="A6" s="73" t="s">
        <v>62</v>
      </c>
      <c r="B6" s="74">
        <f>SUMIFS([1]Combined_Data!$J$2:$J$33,[1]Combined_Data!$B$2:$B$33,A6,[1]Combined_Data!$D$2:$D$33,"Baseline")</f>
        <v>0</v>
      </c>
      <c r="C6" s="74">
        <f>SUMIFS([1]Combined_Data!$J$2:$J$33,[1]Combined_Data!$B$2:$B$33,A6,[1]Combined_Data!$D$2:$D$33,"Stressed")</f>
        <v>102.79200000000003</v>
      </c>
      <c r="D6" s="74">
        <f>C6-B6</f>
        <v>102.79200000000003</v>
      </c>
      <c r="E6" s="75">
        <f>C6/$C$11</f>
        <v>0.26863261108744568</v>
      </c>
    </row>
    <row r="7" spans="1:5" ht="15" customHeight="1" x14ac:dyDescent="0.15">
      <c r="A7" s="73" t="s">
        <v>54</v>
      </c>
      <c r="B7" s="74">
        <f>SUMIFS([1]Combined_Data!$J$2:$J$33,[1]Combined_Data!$B$2:$B$33,A7,[1]Combined_Data!$D$2:$D$33,"Baseline")</f>
        <v>99.5</v>
      </c>
      <c r="C7" s="74">
        <f>SUMIFS([1]Combined_Data!$J$2:$J$33,[1]Combined_Data!$B$2:$B$33,A7,[1]Combined_Data!$D$2:$D$33,"Stressed")</f>
        <v>101.75</v>
      </c>
      <c r="D7" s="74">
        <f>C7-B7</f>
        <v>2.25</v>
      </c>
      <c r="E7" s="75">
        <f>C7/$C$11</f>
        <v>0.26590948885270826</v>
      </c>
    </row>
    <row r="8" spans="1:5" ht="15" customHeight="1" x14ac:dyDescent="0.15">
      <c r="A8" s="73" t="s">
        <v>45</v>
      </c>
      <c r="B8" s="74">
        <f>SUMIFS([1]Combined_Data!$J$2:$J$33,[1]Combined_Data!$B$2:$B$33,A8,[1]Combined_Data!$D$2:$D$33,"Baseline")</f>
        <v>99.95</v>
      </c>
      <c r="C8" s="74">
        <f>SUMIFS([1]Combined_Data!$J$2:$J$33,[1]Combined_Data!$B$2:$B$33,A8,[1]Combined_Data!$D$2:$D$33,"Stressed")</f>
        <v>128.85</v>
      </c>
      <c r="D8" s="74">
        <f>C8-B8</f>
        <v>28.899999999999991</v>
      </c>
      <c r="E8" s="75">
        <f>C8/$C$11</f>
        <v>0.33673157384443697</v>
      </c>
    </row>
    <row r="9" spans="1:5" ht="15" customHeight="1" x14ac:dyDescent="0.15">
      <c r="A9" s="73" t="s">
        <v>35</v>
      </c>
      <c r="B9" s="74">
        <f>SUMIFS([1]Combined_Data!$J$2:$J$33,[1]Combined_Data!$B$2:$B$33,A9,[1]Combined_Data!$D$2:$D$33,"Baseline")</f>
        <v>0</v>
      </c>
      <c r="C9" s="74">
        <f>SUMIFS([1]Combined_Data!$J$2:$J$33,[1]Combined_Data!$B$2:$B$33,A9,[1]Combined_Data!$D$2:$D$33,"Stressed")</f>
        <v>14.526000000000041</v>
      </c>
      <c r="D9" s="74">
        <f>C9-B9</f>
        <v>14.526000000000041</v>
      </c>
      <c r="E9" s="75">
        <f>C9/$C$11</f>
        <v>3.796168289999461E-2</v>
      </c>
    </row>
    <row r="10" spans="1:5" ht="15" customHeight="1" x14ac:dyDescent="0.15">
      <c r="A10" s="73" t="s">
        <v>58</v>
      </c>
      <c r="B10" s="74">
        <f>SUMIFS([1]Combined_Data!$J$2:$J$33,[1]Combined_Data!$B$2:$B$33,A10,[1]Combined_Data!$D$2:$D$33,"Baseline")</f>
        <v>27.202500000000001</v>
      </c>
      <c r="C10" s="74">
        <f>SUMIFS([1]Combined_Data!$J$2:$J$33,[1]Combined_Data!$B$2:$B$33,A10,[1]Combined_Data!$D$2:$D$33,"Stressed")</f>
        <v>34.730999999999995</v>
      </c>
      <c r="D10" s="74">
        <f>C10-B10</f>
        <v>7.528499999999994</v>
      </c>
      <c r="E10" s="75">
        <f>C10/$C$11</f>
        <v>9.0764643315414339E-2</v>
      </c>
    </row>
    <row r="11" spans="1:5" ht="15" customHeight="1" x14ac:dyDescent="0.15">
      <c r="A11" s="76" t="s">
        <v>220</v>
      </c>
      <c r="B11" s="77">
        <f>SUM(B6:B10)</f>
        <v>226.65249999999997</v>
      </c>
      <c r="C11" s="77">
        <f>SUM(C6:C10)</f>
        <v>382.64900000000011</v>
      </c>
      <c r="D11" s="77">
        <f>SUM(D6:D10)</f>
        <v>155.99650000000003</v>
      </c>
      <c r="E11" s="78">
        <f>C11/C11</f>
        <v>1</v>
      </c>
    </row>
    <row r="14" spans="1:5" ht="15" customHeight="1" x14ac:dyDescent="0.15">
      <c r="A14" s="2" t="s">
        <v>221</v>
      </c>
    </row>
    <row r="15" spans="1:5" ht="30" x14ac:dyDescent="0.15">
      <c r="A15" s="72" t="s">
        <v>222</v>
      </c>
      <c r="B15" s="72" t="s">
        <v>223</v>
      </c>
      <c r="C15" s="72" t="s">
        <v>224</v>
      </c>
    </row>
    <row r="16" spans="1:5" ht="15" customHeight="1" x14ac:dyDescent="0.15">
      <c r="A16" s="73" t="s">
        <v>225</v>
      </c>
      <c r="B16" s="74">
        <f>$C$11</f>
        <v>382.64900000000011</v>
      </c>
      <c r="C16" s="74">
        <f>$C$11</f>
        <v>382.64900000000011</v>
      </c>
    </row>
    <row r="17" spans="1:5" ht="15" customHeight="1" x14ac:dyDescent="0.15">
      <c r="A17" s="73" t="s">
        <v>226</v>
      </c>
      <c r="B17" s="74">
        <f>[1]Basel_III_Endgame!$B$26</f>
        <v>25.77</v>
      </c>
      <c r="C17" s="74">
        <f>[1]Basel_III_Endgame!$B$26</f>
        <v>25.77</v>
      </c>
    </row>
    <row r="18" spans="1:5" ht="15" customHeight="1" x14ac:dyDescent="0.15">
      <c r="A18" s="73" t="s">
        <v>227</v>
      </c>
      <c r="B18" s="74">
        <f>[1]Basel_III_Endgame!$B$21</f>
        <v>58.5</v>
      </c>
      <c r="C18" s="74">
        <f>[1]Basel_III_Endgame!$B$22</f>
        <v>22.5</v>
      </c>
    </row>
    <row r="19" spans="1:5" ht="15" customHeight="1" x14ac:dyDescent="0.15">
      <c r="A19" s="76" t="s">
        <v>228</v>
      </c>
      <c r="B19" s="77">
        <f>B16+B17+B18</f>
        <v>466.9190000000001</v>
      </c>
      <c r="C19" s="77">
        <f>C16+C17+C18</f>
        <v>430.9190000000001</v>
      </c>
    </row>
    <row r="20" spans="1:5" ht="15" customHeight="1" x14ac:dyDescent="0.15">
      <c r="A20" s="73" t="s">
        <v>229</v>
      </c>
      <c r="B20" s="74">
        <f>[1]Basel_III_Endgame!$C$31</f>
        <v>466.91900000000004</v>
      </c>
      <c r="C20" s="74">
        <f>[1]Basel_III_Endgame!$C$32</f>
        <v>430.91900000000004</v>
      </c>
    </row>
    <row r="21" spans="1:5" ht="15" customHeight="1" x14ac:dyDescent="0.15">
      <c r="A21" s="79" t="s">
        <v>230</v>
      </c>
      <c r="B21" s="80">
        <f>B19-B20</f>
        <v>0</v>
      </c>
      <c r="C21" s="80">
        <f>C19-C20</f>
        <v>0</v>
      </c>
    </row>
    <row r="23" spans="1:5" ht="31.5" customHeight="1" x14ac:dyDescent="0.15">
      <c r="A23" s="81"/>
      <c r="B23" s="81"/>
      <c r="C23" s="81"/>
      <c r="D23" s="81"/>
      <c r="E23" s="81"/>
    </row>
    <row r="25" spans="1:5" ht="15" customHeight="1" x14ac:dyDescent="0.15">
      <c r="A25" s="2" t="s">
        <v>231</v>
      </c>
    </row>
    <row r="26" spans="1:5" ht="30" x14ac:dyDescent="0.15">
      <c r="A26" s="72" t="s">
        <v>137</v>
      </c>
      <c r="B26" s="72" t="s">
        <v>96</v>
      </c>
      <c r="C26" s="72" t="s">
        <v>232</v>
      </c>
      <c r="D26" s="72" t="s">
        <v>108</v>
      </c>
      <c r="E26" s="72" t="s">
        <v>233</v>
      </c>
    </row>
    <row r="27" spans="1:5" ht="15" customHeight="1" x14ac:dyDescent="0.15">
      <c r="A27" s="73" t="s">
        <v>139</v>
      </c>
      <c r="B27" s="74">
        <f>[1]Basel_III_Endgame!$C$30</f>
        <v>382.64900000000006</v>
      </c>
      <c r="C27" s="82">
        <f>B27-$B$27</f>
        <v>0</v>
      </c>
      <c r="D27" s="83">
        <f>[1]Basel_III_Endgame!$D$37</f>
        <v>5.7493943535720717E-2</v>
      </c>
      <c r="E27" s="84">
        <f>D27-0.045</f>
        <v>1.2493943535720718E-2</v>
      </c>
    </row>
    <row r="28" spans="1:5" ht="15" customHeight="1" x14ac:dyDescent="0.15">
      <c r="A28" s="73" t="s">
        <v>234</v>
      </c>
      <c r="B28" s="74">
        <f>[1]Basel_III_Endgame!$C$31</f>
        <v>466.91900000000004</v>
      </c>
      <c r="C28" s="82">
        <f>B28-$B$27</f>
        <v>84.269999999999982</v>
      </c>
      <c r="D28" s="83">
        <f>[1]Basel_III_Endgame!$D$39</f>
        <v>4.7117380102330381E-2</v>
      </c>
      <c r="E28" s="84">
        <f>D28-0.045</f>
        <v>2.1173801023303823E-3</v>
      </c>
    </row>
    <row r="29" spans="1:5" ht="15" customHeight="1" x14ac:dyDescent="0.15">
      <c r="A29" s="73" t="s">
        <v>235</v>
      </c>
      <c r="B29" s="74">
        <f>[1]Basel_III_Endgame!$C$32</f>
        <v>430.91900000000004</v>
      </c>
      <c r="C29" s="82">
        <f>B29-$B$27</f>
        <v>48.269999999999982</v>
      </c>
      <c r="D29" s="83">
        <f>[1]Basel_III_Endgame!$D$41</f>
        <v>5.1053678301490532E-2</v>
      </c>
      <c r="E29" s="84">
        <f>D29-0.045</f>
        <v>6.0536783014905338E-3</v>
      </c>
    </row>
    <row r="31" spans="1:5" ht="43.5" customHeight="1" x14ac:dyDescent="0.15">
      <c r="A31" s="81" t="s">
        <v>236</v>
      </c>
      <c r="B31" s="81"/>
      <c r="C31" s="81"/>
      <c r="D31" s="81"/>
      <c r="E31" s="81"/>
    </row>
  </sheetData>
  <mergeCells count="2">
    <mergeCell ref="A23:E23"/>
    <mergeCell ref="A31:E31"/>
  </mergeCells>
  <conditionalFormatting sqref="B21:C21">
    <cfRule type="cellIs" dxfId="3" priority="1" operator="equal">
      <formula>0</formula>
    </cfRule>
    <cfRule type="cellIs" dxfId="2" priority="2" operator="notEqual">
      <formula>0</formula>
    </cfRule>
  </conditionalFormatting>
  <conditionalFormatting sqref="E27:E29">
    <cfRule type="cellIs" dxfId="1" priority="3" operator="lessThan">
      <formula>0.01</formula>
    </cfRule>
    <cfRule type="cellIs" dxfId="0" priority="4" operator="greaterThanOrEqual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Portfolio</vt:lpstr>
      <vt:lpstr>Capital_Summary</vt:lpstr>
      <vt:lpstr>Stress_Scenario</vt:lpstr>
      <vt:lpstr>Basel_III_Endgame</vt:lpstr>
      <vt:lpstr>DATA</vt:lpstr>
      <vt:lpstr>RWA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2026-09-09T22:36:55Z</dcterms:created>
  <dcterms:modified xsi:type="dcterms:W3CDTF">2026-09-10T16:26:41Z</dcterms:modified>
  <dc:language>en-US</dc:language>
</cp:coreProperties>
</file>